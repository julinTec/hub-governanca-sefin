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em\Downloads\"/>
    </mc:Choice>
  </mc:AlternateContent>
  <xr:revisionPtr revIDLastSave="0" documentId="13_ncr:1_{A7848B66-8043-465B-A1A3-80ED84581B22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1__POR_RECEITA_DETALHADA" sheetId="1" state="hidden" r:id="rId1"/>
    <sheet name="1. CONSOLIDAÇÃO_MENSAL 2024" sheetId="2" state="hidden" r:id="rId2"/>
    <sheet name="Planilha1" sheetId="4" state="hidden" r:id="rId3"/>
    <sheet name="CONSOLIDAÇÃO MENSAL FERMOJU 202" sheetId="3" r:id="rId4"/>
    <sheet name="CONSOLIDACAO MENSAL FUNSEG" sheetId="5" r:id="rId5"/>
    <sheet name="CONSOLIDACAO MENSAL FECDOJ" sheetId="6" r:id="rId6"/>
    <sheet name="Consolidado" sheetId="7" r:id="rId7"/>
  </sheets>
  <externalReferences>
    <externalReference r:id="rId8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T9" i="7" l="1"/>
  <c r="S9" i="7"/>
  <c r="R9" i="7"/>
  <c r="T8" i="7"/>
  <c r="S8" i="7"/>
  <c r="R8" i="7"/>
  <c r="T7" i="7"/>
  <c r="S7" i="7"/>
  <c r="R7" i="7"/>
  <c r="S6" i="7"/>
  <c r="T6" i="7"/>
  <c r="R6" i="7"/>
  <c r="T5" i="7"/>
  <c r="S5" i="7"/>
  <c r="R5" i="7"/>
  <c r="T4" i="7"/>
  <c r="S4" i="7"/>
  <c r="R4" i="7"/>
  <c r="K4" i="7"/>
  <c r="K3" i="7"/>
  <c r="J32" i="3"/>
  <c r="P9" i="3"/>
  <c r="P10" i="3"/>
  <c r="K32" i="3"/>
  <c r="P6" i="3"/>
  <c r="P7" i="3"/>
  <c r="P8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5" i="3"/>
  <c r="J39" i="3"/>
  <c r="K39" i="3"/>
  <c r="K42" i="3"/>
  <c r="I32" i="3"/>
  <c r="L32" i="3"/>
  <c r="M32" i="3"/>
  <c r="N32" i="3"/>
  <c r="O32" i="3"/>
  <c r="G54" i="3"/>
  <c r="H39" i="3"/>
  <c r="E24" i="7"/>
  <c r="F24" i="7"/>
  <c r="G24" i="7"/>
  <c r="H24" i="7"/>
  <c r="I24" i="7"/>
  <c r="J24" i="7"/>
  <c r="K24" i="7"/>
  <c r="L24" i="7"/>
  <c r="M24" i="7"/>
  <c r="N24" i="7"/>
  <c r="O24" i="7"/>
  <c r="E25" i="7"/>
  <c r="F25" i="7"/>
  <c r="G25" i="7"/>
  <c r="H25" i="7"/>
  <c r="I25" i="7"/>
  <c r="J25" i="7"/>
  <c r="K25" i="7"/>
  <c r="L25" i="7"/>
  <c r="M25" i="7"/>
  <c r="N25" i="7"/>
  <c r="O25" i="7"/>
  <c r="E26" i="7"/>
  <c r="F26" i="7"/>
  <c r="G26" i="7"/>
  <c r="H26" i="7"/>
  <c r="I26" i="7"/>
  <c r="J26" i="7"/>
  <c r="K26" i="7"/>
  <c r="L26" i="7"/>
  <c r="M26" i="7"/>
  <c r="N26" i="7"/>
  <c r="O26" i="7"/>
  <c r="E27" i="7"/>
  <c r="F27" i="7"/>
  <c r="G27" i="7"/>
  <c r="H27" i="7"/>
  <c r="I27" i="7"/>
  <c r="J27" i="7"/>
  <c r="K27" i="7"/>
  <c r="L27" i="7"/>
  <c r="M27" i="7"/>
  <c r="N27" i="7"/>
  <c r="O27" i="7"/>
  <c r="E28" i="7"/>
  <c r="F28" i="7"/>
  <c r="G28" i="7"/>
  <c r="H28" i="7"/>
  <c r="I28" i="7"/>
  <c r="J28" i="7"/>
  <c r="K28" i="7"/>
  <c r="L28" i="7"/>
  <c r="M28" i="7"/>
  <c r="N28" i="7"/>
  <c r="O28" i="7"/>
  <c r="E29" i="7"/>
  <c r="F29" i="7"/>
  <c r="G29" i="7"/>
  <c r="H29" i="7"/>
  <c r="I29" i="7"/>
  <c r="J29" i="7"/>
  <c r="K29" i="7"/>
  <c r="L29" i="7"/>
  <c r="M29" i="7"/>
  <c r="N29" i="7"/>
  <c r="O29" i="7"/>
  <c r="E30" i="7"/>
  <c r="F30" i="7"/>
  <c r="G30" i="7"/>
  <c r="H30" i="7"/>
  <c r="I30" i="7"/>
  <c r="J30" i="7"/>
  <c r="K30" i="7"/>
  <c r="L30" i="7"/>
  <c r="M30" i="7"/>
  <c r="N30" i="7"/>
  <c r="O30" i="7"/>
  <c r="E31" i="7"/>
  <c r="F31" i="7"/>
  <c r="G31" i="7"/>
  <c r="H31" i="7"/>
  <c r="I31" i="7"/>
  <c r="J31" i="7"/>
  <c r="K31" i="7"/>
  <c r="L31" i="7"/>
  <c r="M31" i="7"/>
  <c r="N31" i="7"/>
  <c r="O31" i="7"/>
  <c r="E32" i="7"/>
  <c r="F32" i="7"/>
  <c r="G32" i="7"/>
  <c r="H32" i="7"/>
  <c r="I32" i="7"/>
  <c r="J32" i="7"/>
  <c r="K32" i="7"/>
  <c r="L32" i="7"/>
  <c r="M32" i="7"/>
  <c r="N32" i="7"/>
  <c r="O32" i="7"/>
  <c r="D32" i="7"/>
  <c r="D31" i="7"/>
  <c r="D30" i="7"/>
  <c r="D29" i="7"/>
  <c r="D28" i="7"/>
  <c r="D27" i="7"/>
  <c r="D26" i="7"/>
  <c r="D25" i="7"/>
  <c r="D24" i="7"/>
  <c r="E23" i="7"/>
  <c r="F23" i="7"/>
  <c r="G23" i="7"/>
  <c r="H23" i="7"/>
  <c r="I23" i="7"/>
  <c r="J23" i="7"/>
  <c r="K23" i="7"/>
  <c r="L23" i="7"/>
  <c r="M23" i="7"/>
  <c r="N23" i="7"/>
  <c r="O23" i="7"/>
  <c r="D23" i="7"/>
  <c r="E22" i="7"/>
  <c r="F22" i="7"/>
  <c r="G22" i="7"/>
  <c r="H22" i="7"/>
  <c r="I22" i="7"/>
  <c r="J22" i="7"/>
  <c r="K22" i="7"/>
  <c r="L22" i="7"/>
  <c r="M22" i="7"/>
  <c r="N22" i="7"/>
  <c r="O22" i="7"/>
  <c r="D22" i="7"/>
  <c r="E19" i="7"/>
  <c r="F19" i="7"/>
  <c r="G19" i="7"/>
  <c r="H19" i="7"/>
  <c r="I19" i="7"/>
  <c r="J19" i="7"/>
  <c r="K19" i="7"/>
  <c r="L19" i="7"/>
  <c r="M19" i="7"/>
  <c r="N19" i="7"/>
  <c r="O19" i="7"/>
  <c r="E20" i="7"/>
  <c r="F20" i="7"/>
  <c r="G20" i="7"/>
  <c r="H20" i="7"/>
  <c r="I20" i="7"/>
  <c r="J20" i="7"/>
  <c r="K20" i="7"/>
  <c r="L20" i="7"/>
  <c r="M20" i="7"/>
  <c r="N20" i="7"/>
  <c r="O20" i="7"/>
  <c r="E21" i="7"/>
  <c r="F21" i="7"/>
  <c r="G21" i="7"/>
  <c r="H21" i="7"/>
  <c r="I21" i="7"/>
  <c r="J21" i="7"/>
  <c r="K21" i="7"/>
  <c r="L21" i="7"/>
  <c r="M21" i="7"/>
  <c r="N21" i="7"/>
  <c r="O21" i="7"/>
  <c r="D21" i="7"/>
  <c r="D20" i="7"/>
  <c r="D19" i="7"/>
  <c r="E17" i="7"/>
  <c r="F17" i="7"/>
  <c r="G17" i="7"/>
  <c r="H17" i="7"/>
  <c r="I17" i="7"/>
  <c r="J17" i="7"/>
  <c r="K17" i="7"/>
  <c r="L17" i="7"/>
  <c r="M17" i="7"/>
  <c r="N17" i="7"/>
  <c r="O17" i="7"/>
  <c r="E18" i="7"/>
  <c r="F18" i="7"/>
  <c r="G18" i="7"/>
  <c r="H18" i="7"/>
  <c r="I18" i="7"/>
  <c r="J18" i="7"/>
  <c r="K18" i="7"/>
  <c r="L18" i="7"/>
  <c r="M18" i="7"/>
  <c r="N18" i="7"/>
  <c r="O18" i="7"/>
  <c r="D18" i="7"/>
  <c r="D17" i="7"/>
  <c r="E15" i="7"/>
  <c r="F15" i="7"/>
  <c r="G15" i="7"/>
  <c r="H15" i="7"/>
  <c r="I15" i="7"/>
  <c r="J15" i="7"/>
  <c r="K15" i="7"/>
  <c r="L15" i="7"/>
  <c r="M15" i="7"/>
  <c r="N15" i="7"/>
  <c r="O15" i="7"/>
  <c r="E16" i="7"/>
  <c r="F16" i="7"/>
  <c r="G16" i="7"/>
  <c r="H16" i="7"/>
  <c r="I16" i="7"/>
  <c r="J16" i="7"/>
  <c r="K16" i="7"/>
  <c r="L16" i="7"/>
  <c r="M16" i="7"/>
  <c r="N16" i="7"/>
  <c r="O16" i="7"/>
  <c r="D16" i="7"/>
  <c r="D15" i="7"/>
  <c r="E12" i="7"/>
  <c r="F12" i="7"/>
  <c r="G12" i="7"/>
  <c r="H12" i="7"/>
  <c r="I12" i="7"/>
  <c r="J12" i="7"/>
  <c r="K12" i="7"/>
  <c r="L12" i="7"/>
  <c r="M12" i="7"/>
  <c r="N12" i="7"/>
  <c r="O12" i="7"/>
  <c r="E13" i="7"/>
  <c r="F13" i="7"/>
  <c r="G13" i="7"/>
  <c r="H13" i="7"/>
  <c r="I13" i="7"/>
  <c r="J13" i="7"/>
  <c r="K13" i="7"/>
  <c r="L13" i="7"/>
  <c r="M13" i="7"/>
  <c r="N13" i="7"/>
  <c r="O13" i="7"/>
  <c r="E14" i="7"/>
  <c r="F14" i="7"/>
  <c r="G14" i="7"/>
  <c r="H14" i="7"/>
  <c r="I14" i="7"/>
  <c r="J14" i="7"/>
  <c r="K14" i="7"/>
  <c r="L14" i="7"/>
  <c r="M14" i="7"/>
  <c r="N14" i="7"/>
  <c r="O14" i="7"/>
  <c r="D14" i="7"/>
  <c r="D13" i="7"/>
  <c r="D12" i="7"/>
  <c r="E11" i="7"/>
  <c r="F11" i="7"/>
  <c r="G11" i="7"/>
  <c r="H11" i="7"/>
  <c r="I11" i="7"/>
  <c r="J11" i="7"/>
  <c r="K11" i="7"/>
  <c r="L11" i="7"/>
  <c r="M11" i="7"/>
  <c r="N11" i="7"/>
  <c r="O11" i="7"/>
  <c r="D11" i="7"/>
  <c r="E10" i="7"/>
  <c r="F10" i="7"/>
  <c r="G10" i="7"/>
  <c r="H10" i="7"/>
  <c r="I10" i="7"/>
  <c r="J10" i="7"/>
  <c r="K10" i="7"/>
  <c r="L10" i="7"/>
  <c r="M10" i="7"/>
  <c r="N10" i="7"/>
  <c r="O10" i="7"/>
  <c r="D10" i="7"/>
  <c r="E9" i="7"/>
  <c r="F9" i="7"/>
  <c r="G9" i="7"/>
  <c r="H9" i="7"/>
  <c r="I9" i="7"/>
  <c r="J9" i="7"/>
  <c r="K9" i="7"/>
  <c r="L9" i="7"/>
  <c r="M9" i="7"/>
  <c r="N9" i="7"/>
  <c r="O9" i="7"/>
  <c r="D9" i="7"/>
  <c r="E7" i="7"/>
  <c r="F7" i="7"/>
  <c r="G7" i="7"/>
  <c r="H7" i="7"/>
  <c r="I7" i="7"/>
  <c r="J7" i="7"/>
  <c r="K7" i="7"/>
  <c r="L7" i="7"/>
  <c r="M7" i="7"/>
  <c r="N7" i="7"/>
  <c r="O7" i="7"/>
  <c r="E8" i="7"/>
  <c r="F8" i="7"/>
  <c r="G8" i="7"/>
  <c r="H8" i="7"/>
  <c r="I8" i="7"/>
  <c r="J8" i="7"/>
  <c r="K8" i="7"/>
  <c r="L8" i="7"/>
  <c r="M8" i="7"/>
  <c r="N8" i="7"/>
  <c r="O8" i="7"/>
  <c r="D8" i="7"/>
  <c r="D7" i="7"/>
  <c r="E6" i="7"/>
  <c r="F6" i="7"/>
  <c r="G6" i="7"/>
  <c r="H6" i="7"/>
  <c r="I6" i="7"/>
  <c r="J6" i="7"/>
  <c r="K6" i="7"/>
  <c r="L6" i="7"/>
  <c r="M6" i="7"/>
  <c r="N6" i="7"/>
  <c r="O6" i="7"/>
  <c r="D6" i="7"/>
  <c r="E5" i="7"/>
  <c r="F5" i="7"/>
  <c r="G5" i="7"/>
  <c r="H5" i="7"/>
  <c r="I5" i="7"/>
  <c r="J5" i="7"/>
  <c r="K5" i="7"/>
  <c r="L5" i="7"/>
  <c r="M5" i="7"/>
  <c r="N5" i="7"/>
  <c r="O5" i="7"/>
  <c r="D5" i="7"/>
  <c r="I2" i="7"/>
  <c r="J2" i="7"/>
  <c r="K2" i="7"/>
  <c r="L2" i="7"/>
  <c r="M2" i="7"/>
  <c r="N2" i="7"/>
  <c r="O2" i="7"/>
  <c r="I3" i="7"/>
  <c r="J3" i="7"/>
  <c r="L3" i="7"/>
  <c r="M3" i="7"/>
  <c r="N3" i="7"/>
  <c r="O3" i="7"/>
  <c r="I4" i="7"/>
  <c r="J4" i="7"/>
  <c r="L4" i="7"/>
  <c r="M4" i="7"/>
  <c r="N4" i="7"/>
  <c r="O4" i="7"/>
  <c r="E4" i="7"/>
  <c r="F4" i="7"/>
  <c r="G4" i="7"/>
  <c r="H4" i="7"/>
  <c r="D4" i="7"/>
  <c r="E3" i="7"/>
  <c r="F3" i="7"/>
  <c r="G3" i="7"/>
  <c r="H3" i="7"/>
  <c r="D3" i="7"/>
  <c r="H2" i="7"/>
  <c r="E2" i="7"/>
  <c r="F2" i="7"/>
  <c r="G2" i="7"/>
  <c r="D2" i="7"/>
  <c r="O39" i="6"/>
  <c r="O38" i="6"/>
  <c r="N37" i="6"/>
  <c r="M37" i="6"/>
  <c r="L37" i="6"/>
  <c r="K37" i="6"/>
  <c r="J37" i="6"/>
  <c r="I37" i="6"/>
  <c r="H37" i="6"/>
  <c r="G37" i="6"/>
  <c r="F37" i="6"/>
  <c r="E37" i="6"/>
  <c r="D37" i="6"/>
  <c r="C37" i="6"/>
  <c r="O37" i="6" s="1"/>
  <c r="O36" i="6"/>
  <c r="O35" i="6"/>
  <c r="O34" i="6"/>
  <c r="O33" i="6"/>
  <c r="O32" i="6"/>
  <c r="O31" i="6"/>
  <c r="N30" i="6"/>
  <c r="N40" i="6" s="1"/>
  <c r="M30" i="6"/>
  <c r="M40" i="6" s="1"/>
  <c r="L30" i="6"/>
  <c r="L40" i="6" s="1"/>
  <c r="K30" i="6"/>
  <c r="K40" i="6" s="1"/>
  <c r="J30" i="6"/>
  <c r="J40" i="6" s="1"/>
  <c r="G59" i="3" s="1"/>
  <c r="I30" i="6"/>
  <c r="I40" i="6" s="1"/>
  <c r="H30" i="6"/>
  <c r="H40" i="6" s="1"/>
  <c r="F30" i="6"/>
  <c r="F40" i="6" s="1"/>
  <c r="E30" i="6"/>
  <c r="E40" i="6" s="1"/>
  <c r="D30" i="6"/>
  <c r="D40" i="6" s="1"/>
  <c r="C30" i="6"/>
  <c r="B30" i="6"/>
  <c r="G29" i="6"/>
  <c r="O29" i="6" s="1"/>
  <c r="O28" i="6"/>
  <c r="G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40" i="5"/>
  <c r="N38" i="5"/>
  <c r="M38" i="5"/>
  <c r="L38" i="5"/>
  <c r="K38" i="5"/>
  <c r="J38" i="5"/>
  <c r="I38" i="5"/>
  <c r="H38" i="5"/>
  <c r="G38" i="5"/>
  <c r="F38" i="5"/>
  <c r="E38" i="5"/>
  <c r="D38" i="5"/>
  <c r="C38" i="5"/>
  <c r="O38" i="5" s="1"/>
  <c r="O37" i="5"/>
  <c r="O36" i="5"/>
  <c r="O35" i="5"/>
  <c r="O34" i="5"/>
  <c r="O33" i="5"/>
  <c r="O32" i="5"/>
  <c r="O31" i="5"/>
  <c r="N30" i="5"/>
  <c r="N41" i="5" s="1"/>
  <c r="M30" i="5"/>
  <c r="M41" i="5" s="1"/>
  <c r="L30" i="5"/>
  <c r="L41" i="5" s="1"/>
  <c r="K30" i="5"/>
  <c r="K41" i="5" s="1"/>
  <c r="J30" i="5"/>
  <c r="J41" i="5" s="1"/>
  <c r="G58" i="3" s="1"/>
  <c r="I30" i="5"/>
  <c r="I41" i="5" s="1"/>
  <c r="H30" i="5"/>
  <c r="H41" i="5" s="1"/>
  <c r="G30" i="5"/>
  <c r="G41" i="5" s="1"/>
  <c r="F30" i="5"/>
  <c r="F41" i="5" s="1"/>
  <c r="E30" i="5"/>
  <c r="E41" i="5" s="1"/>
  <c r="D30" i="5"/>
  <c r="D41" i="5" s="1"/>
  <c r="C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F28" i="4"/>
  <c r="F21" i="4"/>
  <c r="L19" i="4"/>
  <c r="F16" i="4"/>
  <c r="E16" i="4"/>
  <c r="D16" i="4"/>
  <c r="C16" i="4"/>
  <c r="B16" i="4"/>
  <c r="B17" i="4" s="1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L11" i="4"/>
  <c r="L14" i="4" s="1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L5" i="4"/>
  <c r="K5" i="4"/>
  <c r="J5" i="4"/>
  <c r="I5" i="4"/>
  <c r="H5" i="4"/>
  <c r="G5" i="4"/>
  <c r="K4" i="4"/>
  <c r="J4" i="4"/>
  <c r="I4" i="4"/>
  <c r="H4" i="4"/>
  <c r="G4" i="4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F100" i="2"/>
  <c r="E100" i="2"/>
  <c r="D100" i="2"/>
  <c r="C100" i="2"/>
  <c r="G97" i="2"/>
  <c r="H97" i="2" s="1"/>
  <c r="H96" i="2"/>
  <c r="G93" i="2"/>
  <c r="D79" i="2"/>
  <c r="D78" i="2"/>
  <c r="D57" i="2"/>
  <c r="E57" i="2" s="1"/>
  <c r="J56" i="2"/>
  <c r="D56" i="2"/>
  <c r="C56" i="2"/>
  <c r="D55" i="2"/>
  <c r="C55" i="2"/>
  <c r="C59" i="2" s="1"/>
  <c r="P53" i="2"/>
  <c r="G53" i="2"/>
  <c r="J52" i="2"/>
  <c r="G52" i="2"/>
  <c r="L51" i="2"/>
  <c r="L52" i="2" s="1"/>
  <c r="L55" i="2" s="1"/>
  <c r="H51" i="2"/>
  <c r="J50" i="2"/>
  <c r="D49" i="2"/>
  <c r="C49" i="2"/>
  <c r="F48" i="2"/>
  <c r="D48" i="2"/>
  <c r="C48" i="2"/>
  <c r="K47" i="2"/>
  <c r="K48" i="2" s="1"/>
  <c r="L46" i="2"/>
  <c r="G46" i="2"/>
  <c r="P45" i="2"/>
  <c r="L45" i="2"/>
  <c r="N44" i="2"/>
  <c r="K44" i="2"/>
  <c r="L44" i="2" s="1"/>
  <c r="H44" i="2"/>
  <c r="G44" i="2"/>
  <c r="F44" i="2"/>
  <c r="F46" i="2" s="1"/>
  <c r="K43" i="2"/>
  <c r="L43" i="2" s="1"/>
  <c r="H43" i="2"/>
  <c r="G43" i="2"/>
  <c r="F43" i="2"/>
  <c r="D43" i="2"/>
  <c r="C43" i="2"/>
  <c r="I42" i="2"/>
  <c r="G42" i="2"/>
  <c r="O41" i="2"/>
  <c r="I41" i="2"/>
  <c r="G41" i="2"/>
  <c r="N36" i="2"/>
  <c r="M36" i="2"/>
  <c r="L36" i="2"/>
  <c r="K36" i="2"/>
  <c r="J36" i="2"/>
  <c r="I36" i="2"/>
  <c r="H36" i="2"/>
  <c r="G36" i="2"/>
  <c r="F36" i="2"/>
  <c r="E36" i="2"/>
  <c r="D36" i="2"/>
  <c r="C36" i="2"/>
  <c r="O35" i="2"/>
  <c r="O34" i="2"/>
  <c r="O33" i="2"/>
  <c r="O32" i="2"/>
  <c r="O31" i="2"/>
  <c r="N29" i="2"/>
  <c r="N39" i="2" s="1"/>
  <c r="M29" i="2"/>
  <c r="M39" i="2" s="1"/>
  <c r="L29" i="2"/>
  <c r="L39" i="2" s="1"/>
  <c r="K29" i="2"/>
  <c r="K39" i="2" s="1"/>
  <c r="J29" i="2"/>
  <c r="J39" i="2" s="1"/>
  <c r="I29" i="2"/>
  <c r="I39" i="2" s="1"/>
  <c r="H29" i="2"/>
  <c r="H39" i="2" s="1"/>
  <c r="G29" i="2"/>
  <c r="G39" i="2" s="1"/>
  <c r="F29" i="2"/>
  <c r="F39" i="2" s="1"/>
  <c r="E29" i="2"/>
  <c r="E39" i="2" s="1"/>
  <c r="E42" i="2" s="1"/>
  <c r="D29" i="2"/>
  <c r="C29" i="2"/>
  <c r="B29" i="2"/>
  <c r="R28" i="2"/>
  <c r="R27" i="2"/>
  <c r="R26" i="2"/>
  <c r="R25" i="2"/>
  <c r="R24" i="2"/>
  <c r="R23" i="2"/>
  <c r="S22" i="2"/>
  <c r="R22" i="2"/>
  <c r="R21" i="2"/>
  <c r="R20" i="2"/>
  <c r="R19" i="2"/>
  <c r="R18" i="2"/>
  <c r="R17" i="2"/>
  <c r="W16" i="2"/>
  <c r="W18" i="2" s="1"/>
  <c r="R16" i="2"/>
  <c r="R15" i="2"/>
  <c r="R14" i="2"/>
  <c r="R13" i="2"/>
  <c r="R12" i="2"/>
  <c r="R11" i="2"/>
  <c r="R10" i="2"/>
  <c r="R9" i="2"/>
  <c r="U8" i="2"/>
  <c r="T8" i="2"/>
  <c r="R8" i="2"/>
  <c r="R7" i="2"/>
  <c r="R6" i="2"/>
  <c r="R5" i="2"/>
  <c r="D169" i="1"/>
  <c r="D168" i="1"/>
  <c r="D167" i="1"/>
  <c r="D166" i="1"/>
  <c r="D165" i="1"/>
  <c r="D164" i="1"/>
  <c r="D163" i="1"/>
  <c r="D162" i="1"/>
  <c r="D161" i="1"/>
  <c r="C150" i="1"/>
  <c r="B150" i="1"/>
  <c r="D150" i="1" s="1"/>
  <c r="D149" i="1"/>
  <c r="D148" i="1"/>
  <c r="D147" i="1"/>
  <c r="D146" i="1"/>
  <c r="D145" i="1"/>
  <c r="D144" i="1"/>
  <c r="D143" i="1"/>
  <c r="D142" i="1"/>
  <c r="I141" i="1"/>
  <c r="D141" i="1"/>
  <c r="D140" i="1"/>
  <c r="D139" i="1"/>
  <c r="D138" i="1"/>
  <c r="E133" i="1"/>
  <c r="B133" i="1"/>
  <c r="C133" i="1" s="1"/>
  <c r="D134" i="1" s="1"/>
  <c r="B132" i="1"/>
  <c r="J131" i="1"/>
  <c r="I131" i="1"/>
  <c r="K131" i="1" s="1"/>
  <c r="C131" i="1"/>
  <c r="B131" i="1"/>
  <c r="D131" i="1" s="1"/>
  <c r="K130" i="1"/>
  <c r="D130" i="1"/>
  <c r="E130" i="1" s="1"/>
  <c r="K129" i="1"/>
  <c r="D129" i="1"/>
  <c r="E129" i="1" s="1"/>
  <c r="K128" i="1"/>
  <c r="D128" i="1"/>
  <c r="E128" i="1" s="1"/>
  <c r="K127" i="1"/>
  <c r="D127" i="1"/>
  <c r="E127" i="1" s="1"/>
  <c r="K126" i="1"/>
  <c r="D126" i="1"/>
  <c r="E126" i="1" s="1"/>
  <c r="K125" i="1"/>
  <c r="D125" i="1"/>
  <c r="E125" i="1" s="1"/>
  <c r="K124" i="1"/>
  <c r="D124" i="1"/>
  <c r="E124" i="1" s="1"/>
  <c r="K123" i="1"/>
  <c r="D123" i="1"/>
  <c r="E123" i="1" s="1"/>
  <c r="K122" i="1"/>
  <c r="D122" i="1"/>
  <c r="E122" i="1" s="1"/>
  <c r="K121" i="1"/>
  <c r="D121" i="1"/>
  <c r="K120" i="1"/>
  <c r="D120" i="1"/>
  <c r="E120" i="1" s="1"/>
  <c r="K119" i="1"/>
  <c r="D119" i="1"/>
  <c r="F113" i="1"/>
  <c r="E113" i="1"/>
  <c r="G113" i="1" s="1"/>
  <c r="C113" i="1"/>
  <c r="I113" i="1" s="1"/>
  <c r="B113" i="1"/>
  <c r="I112" i="1"/>
  <c r="H112" i="1"/>
  <c r="G112" i="1"/>
  <c r="D112" i="1"/>
  <c r="I111" i="1"/>
  <c r="H111" i="1"/>
  <c r="G111" i="1"/>
  <c r="D111" i="1"/>
  <c r="I110" i="1"/>
  <c r="H110" i="1"/>
  <c r="G110" i="1"/>
  <c r="D110" i="1"/>
  <c r="K109" i="1"/>
  <c r="I109" i="1"/>
  <c r="J109" i="1" s="1"/>
  <c r="L109" i="1" s="1"/>
  <c r="G109" i="1"/>
  <c r="D109" i="1"/>
  <c r="I108" i="1"/>
  <c r="L108" i="1" s="1"/>
  <c r="H108" i="1"/>
  <c r="G108" i="1"/>
  <c r="D108" i="1"/>
  <c r="I107" i="1"/>
  <c r="L107" i="1" s="1"/>
  <c r="H107" i="1"/>
  <c r="G107" i="1"/>
  <c r="D107" i="1"/>
  <c r="I106" i="1"/>
  <c r="L106" i="1" s="1"/>
  <c r="H106" i="1"/>
  <c r="G106" i="1"/>
  <c r="D106" i="1"/>
  <c r="I105" i="1"/>
  <c r="L105" i="1" s="1"/>
  <c r="H105" i="1"/>
  <c r="G105" i="1"/>
  <c r="D105" i="1"/>
  <c r="I104" i="1"/>
  <c r="L104" i="1" s="1"/>
  <c r="H104" i="1"/>
  <c r="G104" i="1"/>
  <c r="D104" i="1"/>
  <c r="I103" i="1"/>
  <c r="L103" i="1" s="1"/>
  <c r="H103" i="1"/>
  <c r="G103" i="1"/>
  <c r="D103" i="1"/>
  <c r="L102" i="1"/>
  <c r="K102" i="1"/>
  <c r="J102" i="1"/>
  <c r="G102" i="1"/>
  <c r="D102" i="1"/>
  <c r="L101" i="1"/>
  <c r="K101" i="1"/>
  <c r="M101" i="1" s="1"/>
  <c r="J101" i="1"/>
  <c r="G101" i="1"/>
  <c r="D101" i="1"/>
  <c r="H96" i="1"/>
  <c r="V95" i="1"/>
  <c r="Q95" i="1"/>
  <c r="P95" i="1"/>
  <c r="R95" i="1" s="1"/>
  <c r="H95" i="1"/>
  <c r="F95" i="1"/>
  <c r="E95" i="1"/>
  <c r="G95" i="1" s="1"/>
  <c r="C95" i="1"/>
  <c r="I95" i="1" s="1"/>
  <c r="B95" i="1"/>
  <c r="D95" i="1" s="1"/>
  <c r="R94" i="1"/>
  <c r="K94" i="1"/>
  <c r="J94" i="1"/>
  <c r="L94" i="1" s="1"/>
  <c r="G94" i="1"/>
  <c r="D94" i="1"/>
  <c r="R93" i="1"/>
  <c r="K93" i="1"/>
  <c r="J93" i="1"/>
  <c r="L93" i="1" s="1"/>
  <c r="G93" i="1"/>
  <c r="D93" i="1"/>
  <c r="R92" i="1"/>
  <c r="L92" i="1"/>
  <c r="K92" i="1"/>
  <c r="M92" i="1" s="1"/>
  <c r="J92" i="1"/>
  <c r="G92" i="1"/>
  <c r="D92" i="1"/>
  <c r="R91" i="1"/>
  <c r="L91" i="1"/>
  <c r="K91" i="1"/>
  <c r="M91" i="1" s="1"/>
  <c r="J91" i="1"/>
  <c r="G91" i="1"/>
  <c r="D91" i="1"/>
  <c r="R90" i="1"/>
  <c r="L90" i="1"/>
  <c r="K90" i="1"/>
  <c r="M90" i="1" s="1"/>
  <c r="J90" i="1"/>
  <c r="G90" i="1"/>
  <c r="D90" i="1"/>
  <c r="R89" i="1"/>
  <c r="L89" i="1"/>
  <c r="K89" i="1"/>
  <c r="M89" i="1" s="1"/>
  <c r="J89" i="1"/>
  <c r="G89" i="1"/>
  <c r="D89" i="1"/>
  <c r="R88" i="1"/>
  <c r="L88" i="1"/>
  <c r="K88" i="1"/>
  <c r="M88" i="1" s="1"/>
  <c r="J88" i="1"/>
  <c r="G88" i="1"/>
  <c r="D88" i="1"/>
  <c r="R87" i="1"/>
  <c r="L87" i="1"/>
  <c r="K87" i="1"/>
  <c r="M87" i="1" s="1"/>
  <c r="J87" i="1"/>
  <c r="G87" i="1"/>
  <c r="D87" i="1"/>
  <c r="R86" i="1"/>
  <c r="L86" i="1"/>
  <c r="K86" i="1"/>
  <c r="M86" i="1" s="1"/>
  <c r="J86" i="1"/>
  <c r="G86" i="1"/>
  <c r="D86" i="1"/>
  <c r="R85" i="1"/>
  <c r="L85" i="1"/>
  <c r="K85" i="1"/>
  <c r="J85" i="1"/>
  <c r="G85" i="1"/>
  <c r="D85" i="1"/>
  <c r="R84" i="1"/>
  <c r="L84" i="1"/>
  <c r="K84" i="1"/>
  <c r="J84" i="1"/>
  <c r="G84" i="1"/>
  <c r="D84" i="1"/>
  <c r="R83" i="1"/>
  <c r="L83" i="1"/>
  <c r="K83" i="1"/>
  <c r="M83" i="1" s="1"/>
  <c r="J83" i="1"/>
  <c r="G83" i="1"/>
  <c r="D83" i="1"/>
  <c r="O77" i="1"/>
  <c r="F75" i="1"/>
  <c r="E75" i="1"/>
  <c r="G75" i="1" s="1"/>
  <c r="C75" i="1"/>
  <c r="I75" i="1" s="1"/>
  <c r="B75" i="1"/>
  <c r="J74" i="1"/>
  <c r="L74" i="1" s="1"/>
  <c r="G74" i="1"/>
  <c r="D74" i="1"/>
  <c r="J73" i="1"/>
  <c r="L73" i="1" s="1"/>
  <c r="G73" i="1"/>
  <c r="D73" i="1"/>
  <c r="J72" i="1"/>
  <c r="L72" i="1" s="1"/>
  <c r="G72" i="1"/>
  <c r="D72" i="1"/>
  <c r="O71" i="1"/>
  <c r="J71" i="1"/>
  <c r="L71" i="1" s="1"/>
  <c r="G71" i="1"/>
  <c r="D71" i="1"/>
  <c r="J70" i="1"/>
  <c r="L70" i="1" s="1"/>
  <c r="G70" i="1"/>
  <c r="D70" i="1"/>
  <c r="J69" i="1"/>
  <c r="L69" i="1" s="1"/>
  <c r="G69" i="1"/>
  <c r="D69" i="1"/>
  <c r="J68" i="1"/>
  <c r="L68" i="1" s="1"/>
  <c r="G68" i="1"/>
  <c r="D68" i="1"/>
  <c r="J67" i="1"/>
  <c r="L67" i="1" s="1"/>
  <c r="G67" i="1"/>
  <c r="D67" i="1"/>
  <c r="J66" i="1"/>
  <c r="L66" i="1" s="1"/>
  <c r="G66" i="1"/>
  <c r="D66" i="1"/>
  <c r="J65" i="1"/>
  <c r="L65" i="1" s="1"/>
  <c r="G65" i="1"/>
  <c r="D65" i="1"/>
  <c r="J64" i="1"/>
  <c r="L64" i="1" s="1"/>
  <c r="G64" i="1"/>
  <c r="D64" i="1"/>
  <c r="I63" i="1"/>
  <c r="H63" i="1"/>
  <c r="J63" i="1" s="1"/>
  <c r="L63" i="1" s="1"/>
  <c r="G63" i="1"/>
  <c r="D63" i="1"/>
  <c r="AA57" i="1"/>
  <c r="Z57" i="1"/>
  <c r="X57" i="1"/>
  <c r="AD57" i="1" s="1"/>
  <c r="W57" i="1"/>
  <c r="AC57" i="1" s="1"/>
  <c r="AE57" i="1" s="1"/>
  <c r="T57" i="1"/>
  <c r="O57" i="1"/>
  <c r="N57" i="1"/>
  <c r="P57" i="1" s="1"/>
  <c r="L57" i="1"/>
  <c r="K57" i="1"/>
  <c r="M57" i="1" s="1"/>
  <c r="F57" i="1"/>
  <c r="E57" i="1"/>
  <c r="G57" i="1" s="1"/>
  <c r="C57" i="1"/>
  <c r="I57" i="1" s="1"/>
  <c r="B57" i="1"/>
  <c r="AH56" i="1"/>
  <c r="AE56" i="1"/>
  <c r="AB56" i="1"/>
  <c r="Y56" i="1"/>
  <c r="U56" i="1"/>
  <c r="V56" i="1" s="1"/>
  <c r="Q56" i="1"/>
  <c r="P56" i="1"/>
  <c r="M56" i="1"/>
  <c r="I56" i="1"/>
  <c r="G56" i="1"/>
  <c r="D56" i="1"/>
  <c r="AH55" i="1"/>
  <c r="AE55" i="1"/>
  <c r="AB55" i="1"/>
  <c r="Y55" i="1"/>
  <c r="Y60" i="1" s="1"/>
  <c r="U55" i="1"/>
  <c r="V55" i="1" s="1"/>
  <c r="R55" i="1"/>
  <c r="Q55" i="1"/>
  <c r="S55" i="1" s="1"/>
  <c r="P55" i="1"/>
  <c r="M55" i="1"/>
  <c r="J55" i="1"/>
  <c r="G55" i="1"/>
  <c r="D55" i="1"/>
  <c r="AH54" i="1"/>
  <c r="AE54" i="1"/>
  <c r="AB54" i="1"/>
  <c r="Y54" i="1"/>
  <c r="V54" i="1"/>
  <c r="R54" i="1"/>
  <c r="Q54" i="1"/>
  <c r="S54" i="1" s="1"/>
  <c r="P54" i="1"/>
  <c r="M54" i="1"/>
  <c r="J54" i="1"/>
  <c r="G54" i="1"/>
  <c r="D54" i="1"/>
  <c r="AH53" i="1"/>
  <c r="AE53" i="1"/>
  <c r="AB53" i="1"/>
  <c r="Y53" i="1"/>
  <c r="V53" i="1"/>
  <c r="R53" i="1"/>
  <c r="Q53" i="1"/>
  <c r="S53" i="1" s="1"/>
  <c r="P53" i="1"/>
  <c r="M53" i="1"/>
  <c r="J53" i="1"/>
  <c r="G53" i="1"/>
  <c r="D53" i="1"/>
  <c r="AH52" i="1"/>
  <c r="AE52" i="1"/>
  <c r="AB52" i="1"/>
  <c r="Y52" i="1"/>
  <c r="V52" i="1"/>
  <c r="R52" i="1"/>
  <c r="Q52" i="1"/>
  <c r="S52" i="1" s="1"/>
  <c r="P52" i="1"/>
  <c r="M52" i="1"/>
  <c r="J52" i="1"/>
  <c r="G52" i="1"/>
  <c r="D52" i="1"/>
  <c r="AH51" i="1"/>
  <c r="AE51" i="1"/>
  <c r="AB51" i="1"/>
  <c r="Y51" i="1"/>
  <c r="U51" i="1"/>
  <c r="V51" i="1" s="1"/>
  <c r="R51" i="1"/>
  <c r="Q51" i="1"/>
  <c r="S51" i="1" s="1"/>
  <c r="P51" i="1"/>
  <c r="M51" i="1"/>
  <c r="J51" i="1"/>
  <c r="G51" i="1"/>
  <c r="D51" i="1"/>
  <c r="AH50" i="1"/>
  <c r="AE50" i="1"/>
  <c r="AB50" i="1"/>
  <c r="Y50" i="1"/>
  <c r="U50" i="1"/>
  <c r="V50" i="1" s="1"/>
  <c r="R50" i="1"/>
  <c r="Q50" i="1"/>
  <c r="S50" i="1" s="1"/>
  <c r="P50" i="1"/>
  <c r="M50" i="1"/>
  <c r="J50" i="1"/>
  <c r="G50" i="1"/>
  <c r="D50" i="1"/>
  <c r="AH49" i="1"/>
  <c r="AE49" i="1"/>
  <c r="AB49" i="1"/>
  <c r="Y49" i="1"/>
  <c r="V49" i="1"/>
  <c r="R49" i="1"/>
  <c r="Q49" i="1"/>
  <c r="S49" i="1" s="1"/>
  <c r="P49" i="1"/>
  <c r="M49" i="1"/>
  <c r="J49" i="1"/>
  <c r="G49" i="1"/>
  <c r="D49" i="1"/>
  <c r="AH48" i="1"/>
  <c r="AE48" i="1"/>
  <c r="AB48" i="1"/>
  <c r="Y48" i="1"/>
  <c r="U48" i="1"/>
  <c r="R48" i="1"/>
  <c r="Q48" i="1"/>
  <c r="S48" i="1" s="1"/>
  <c r="P48" i="1"/>
  <c r="M48" i="1"/>
  <c r="J48" i="1"/>
  <c r="G48" i="1"/>
  <c r="D48" i="1"/>
  <c r="AH47" i="1"/>
  <c r="AE47" i="1"/>
  <c r="AB47" i="1"/>
  <c r="Y47" i="1"/>
  <c r="V47" i="1"/>
  <c r="R47" i="1"/>
  <c r="Q47" i="1"/>
  <c r="S47" i="1" s="1"/>
  <c r="P47" i="1"/>
  <c r="M47" i="1"/>
  <c r="J47" i="1"/>
  <c r="G47" i="1"/>
  <c r="D47" i="1"/>
  <c r="AH46" i="1"/>
  <c r="AE46" i="1"/>
  <c r="AB46" i="1"/>
  <c r="Y46" i="1"/>
  <c r="V46" i="1"/>
  <c r="R46" i="1"/>
  <c r="Q46" i="1"/>
  <c r="S46" i="1" s="1"/>
  <c r="P46" i="1"/>
  <c r="M46" i="1"/>
  <c r="J46" i="1"/>
  <c r="G46" i="1"/>
  <c r="D46" i="1"/>
  <c r="AD45" i="1"/>
  <c r="AC45" i="1"/>
  <c r="AE45" i="1" s="1"/>
  <c r="AB45" i="1"/>
  <c r="Y45" i="1"/>
  <c r="Y57" i="1" s="1"/>
  <c r="V45" i="1"/>
  <c r="R45" i="1"/>
  <c r="Q45" i="1"/>
  <c r="P45" i="1"/>
  <c r="M45" i="1"/>
  <c r="J45" i="1"/>
  <c r="G45" i="1"/>
  <c r="D45" i="1"/>
  <c r="N38" i="1"/>
  <c r="M38" i="1"/>
  <c r="O38" i="1" s="1"/>
  <c r="F38" i="1"/>
  <c r="I38" i="1" s="1"/>
  <c r="E38" i="1"/>
  <c r="G38" i="1" s="1"/>
  <c r="B38" i="1"/>
  <c r="O37" i="1"/>
  <c r="I37" i="1"/>
  <c r="H37" i="1"/>
  <c r="J37" i="1" s="1"/>
  <c r="L37" i="1" s="1"/>
  <c r="G37" i="1"/>
  <c r="D37" i="1"/>
  <c r="Q36" i="1"/>
  <c r="O36" i="1"/>
  <c r="I36" i="1"/>
  <c r="H36" i="1"/>
  <c r="J36" i="1" s="1"/>
  <c r="L36" i="1" s="1"/>
  <c r="G36" i="1"/>
  <c r="D36" i="1"/>
  <c r="T35" i="1"/>
  <c r="P35" i="1"/>
  <c r="O35" i="1"/>
  <c r="I35" i="1"/>
  <c r="H35" i="1"/>
  <c r="J35" i="1" s="1"/>
  <c r="L35" i="1" s="1"/>
  <c r="G35" i="1"/>
  <c r="D35" i="1"/>
  <c r="P34" i="1"/>
  <c r="O34" i="1"/>
  <c r="I34" i="1"/>
  <c r="H34" i="1"/>
  <c r="J34" i="1" s="1"/>
  <c r="L34" i="1" s="1"/>
  <c r="G34" i="1"/>
  <c r="D34" i="1"/>
  <c r="P33" i="1"/>
  <c r="O33" i="1"/>
  <c r="I33" i="1"/>
  <c r="H33" i="1"/>
  <c r="J33" i="1" s="1"/>
  <c r="L33" i="1" s="1"/>
  <c r="G33" i="1"/>
  <c r="D33" i="1"/>
  <c r="T32" i="1"/>
  <c r="S32" i="1"/>
  <c r="Q32" i="1"/>
  <c r="P32" i="1"/>
  <c r="O32" i="1"/>
  <c r="I32" i="1"/>
  <c r="H32" i="1"/>
  <c r="J32" i="1" s="1"/>
  <c r="L32" i="1" s="1"/>
  <c r="G32" i="1"/>
  <c r="D32" i="1"/>
  <c r="AA31" i="1"/>
  <c r="P31" i="1"/>
  <c r="O31" i="1"/>
  <c r="I31" i="1"/>
  <c r="H31" i="1"/>
  <c r="J31" i="1" s="1"/>
  <c r="G31" i="1"/>
  <c r="D31" i="1"/>
  <c r="P30" i="1"/>
  <c r="O30" i="1"/>
  <c r="Q30" i="1" s="1"/>
  <c r="I30" i="1"/>
  <c r="H30" i="1"/>
  <c r="J30" i="1" s="1"/>
  <c r="L30" i="1" s="1"/>
  <c r="G30" i="1"/>
  <c r="D30" i="1"/>
  <c r="P29" i="1"/>
  <c r="O29" i="1"/>
  <c r="Q29" i="1" s="1"/>
  <c r="I29" i="1"/>
  <c r="H29" i="1"/>
  <c r="J29" i="1" s="1"/>
  <c r="L29" i="1" s="1"/>
  <c r="G29" i="1"/>
  <c r="D29" i="1"/>
  <c r="P28" i="1"/>
  <c r="O28" i="1"/>
  <c r="Q28" i="1" s="1"/>
  <c r="I28" i="1"/>
  <c r="C160" i="1" s="1"/>
  <c r="H28" i="1"/>
  <c r="J28" i="1" s="1"/>
  <c r="L28" i="1" s="1"/>
  <c r="G28" i="1"/>
  <c r="D28" i="1"/>
  <c r="P27" i="1"/>
  <c r="O27" i="1"/>
  <c r="Q27" i="1" s="1"/>
  <c r="I27" i="1"/>
  <c r="C159" i="1" s="1"/>
  <c r="H27" i="1"/>
  <c r="J27" i="1" s="1"/>
  <c r="L27" i="1" s="1"/>
  <c r="G27" i="1"/>
  <c r="D27" i="1"/>
  <c r="Q26" i="1"/>
  <c r="P26" i="1"/>
  <c r="O26" i="1"/>
  <c r="I26" i="1"/>
  <c r="H26" i="1"/>
  <c r="J26" i="1" s="1"/>
  <c r="L26" i="1" s="1"/>
  <c r="G26" i="1"/>
  <c r="D26" i="1"/>
  <c r="P21" i="1"/>
  <c r="B21" i="1"/>
  <c r="O20" i="1"/>
  <c r="M20" i="1"/>
  <c r="J20" i="1"/>
  <c r="C20" i="1"/>
  <c r="U18" i="1"/>
  <c r="T18" i="1"/>
  <c r="V18" i="1" s="1"/>
  <c r="N18" i="1"/>
  <c r="M18" i="1"/>
  <c r="K18" i="1"/>
  <c r="F18" i="1"/>
  <c r="E18" i="1"/>
  <c r="C18" i="1"/>
  <c r="V17" i="1"/>
  <c r="O17" i="1"/>
  <c r="AA17" i="1" s="1"/>
  <c r="I17" i="1"/>
  <c r="H17" i="1"/>
  <c r="J17" i="1" s="1"/>
  <c r="L17" i="1" s="1"/>
  <c r="G17" i="1"/>
  <c r="Z17" i="1" s="1"/>
  <c r="AB17" i="1" s="1"/>
  <c r="D17" i="1"/>
  <c r="V16" i="1"/>
  <c r="O16" i="1"/>
  <c r="AA16" i="1" s="1"/>
  <c r="I16" i="1"/>
  <c r="H16" i="1"/>
  <c r="J16" i="1" s="1"/>
  <c r="L16" i="1" s="1"/>
  <c r="G16" i="1"/>
  <c r="D16" i="1"/>
  <c r="V15" i="1"/>
  <c r="P15" i="1"/>
  <c r="O15" i="1"/>
  <c r="AA15" i="1" s="1"/>
  <c r="I15" i="1"/>
  <c r="H15" i="1"/>
  <c r="J15" i="1" s="1"/>
  <c r="L15" i="1" s="1"/>
  <c r="G15" i="1"/>
  <c r="Z15" i="1" s="1"/>
  <c r="D15" i="1"/>
  <c r="Y15" i="1" s="1"/>
  <c r="AB15" i="1" s="1"/>
  <c r="V14" i="1"/>
  <c r="O14" i="1"/>
  <c r="AA14" i="1" s="1"/>
  <c r="H14" i="1"/>
  <c r="J14" i="1" s="1"/>
  <c r="L14" i="1" s="1"/>
  <c r="G14" i="1"/>
  <c r="Z14" i="1" s="1"/>
  <c r="D14" i="1"/>
  <c r="Y14" i="1" s="1"/>
  <c r="AB14" i="1" s="1"/>
  <c r="AS13" i="1"/>
  <c r="V13" i="1"/>
  <c r="O13" i="1"/>
  <c r="I13" i="1"/>
  <c r="H13" i="1"/>
  <c r="J13" i="1" s="1"/>
  <c r="L13" i="1" s="1"/>
  <c r="G13" i="1"/>
  <c r="Z13" i="1" s="1"/>
  <c r="D13" i="1"/>
  <c r="Y13" i="1" s="1"/>
  <c r="AK12" i="1"/>
  <c r="AJ12" i="1"/>
  <c r="AL12" i="1" s="1"/>
  <c r="AM12" i="1" s="1"/>
  <c r="V12" i="1"/>
  <c r="Q12" i="1"/>
  <c r="O12" i="1"/>
  <c r="I12" i="1"/>
  <c r="H12" i="1"/>
  <c r="J12" i="1" s="1"/>
  <c r="L12" i="1" s="1"/>
  <c r="G12" i="1"/>
  <c r="Z12" i="1" s="1"/>
  <c r="D12" i="1"/>
  <c r="Y12" i="1" s="1"/>
  <c r="AK11" i="1"/>
  <c r="AJ11" i="1"/>
  <c r="AL11" i="1" s="1"/>
  <c r="AM11" i="1" s="1"/>
  <c r="AP12" i="1" s="1"/>
  <c r="V11" i="1"/>
  <c r="O11" i="1"/>
  <c r="AA11" i="1" s="1"/>
  <c r="I11" i="1"/>
  <c r="H11" i="1"/>
  <c r="J11" i="1" s="1"/>
  <c r="L11" i="1" s="1"/>
  <c r="G11" i="1"/>
  <c r="Z11" i="1" s="1"/>
  <c r="D11" i="1"/>
  <c r="Y11" i="1" s="1"/>
  <c r="AB11" i="1" s="1"/>
  <c r="AK10" i="1"/>
  <c r="AJ10" i="1"/>
  <c r="AL10" i="1" s="1"/>
  <c r="AM10" i="1" s="1"/>
  <c r="AP10" i="1" s="1"/>
  <c r="V10" i="1"/>
  <c r="O10" i="1"/>
  <c r="I10" i="1"/>
  <c r="H10" i="1"/>
  <c r="J10" i="1" s="1"/>
  <c r="L10" i="1" s="1"/>
  <c r="G10" i="1"/>
  <c r="Z10" i="1" s="1"/>
  <c r="D10" i="1"/>
  <c r="Y10" i="1" s="1"/>
  <c r="AK9" i="1"/>
  <c r="AJ9" i="1"/>
  <c r="AL9" i="1" s="1"/>
  <c r="AM9" i="1" s="1"/>
  <c r="V9" i="1"/>
  <c r="O9" i="1"/>
  <c r="AA9" i="1" s="1"/>
  <c r="I9" i="1"/>
  <c r="H9" i="1"/>
  <c r="J9" i="1" s="1"/>
  <c r="L9" i="1" s="1"/>
  <c r="G9" i="1"/>
  <c r="Z9" i="1" s="1"/>
  <c r="D9" i="1"/>
  <c r="Y9" i="1" s="1"/>
  <c r="AB9" i="1" s="1"/>
  <c r="AK8" i="1"/>
  <c r="AJ8" i="1"/>
  <c r="AL8" i="1" s="1"/>
  <c r="AM8" i="1" s="1"/>
  <c r="AP9" i="1" s="1"/>
  <c r="V8" i="1"/>
  <c r="O8" i="1"/>
  <c r="AA8" i="1" s="1"/>
  <c r="I8" i="1"/>
  <c r="H8" i="1"/>
  <c r="J8" i="1" s="1"/>
  <c r="L8" i="1" s="1"/>
  <c r="G8" i="1"/>
  <c r="Z8" i="1" s="1"/>
  <c r="D8" i="1"/>
  <c r="Y8" i="1" s="1"/>
  <c r="AB8" i="1" s="1"/>
  <c r="AK7" i="1"/>
  <c r="AJ7" i="1"/>
  <c r="AL7" i="1" s="1"/>
  <c r="AM7" i="1" s="1"/>
  <c r="V7" i="1"/>
  <c r="O7" i="1"/>
  <c r="I7" i="1"/>
  <c r="J7" i="1" s="1"/>
  <c r="L7" i="1" s="1"/>
  <c r="G7" i="1"/>
  <c r="Z7" i="1" s="1"/>
  <c r="D7" i="1"/>
  <c r="Y7" i="1" s="1"/>
  <c r="AK6" i="1"/>
  <c r="AJ6" i="1"/>
  <c r="AL6" i="1" s="1"/>
  <c r="AM6" i="1" s="1"/>
  <c r="V6" i="1"/>
  <c r="O6" i="1"/>
  <c r="I6" i="1"/>
  <c r="I18" i="1" s="1"/>
  <c r="G6" i="1"/>
  <c r="B6" i="1"/>
  <c r="F106" i="3"/>
  <c r="P41" i="3"/>
  <c r="P40" i="3"/>
  <c r="O39" i="3"/>
  <c r="N39" i="3"/>
  <c r="M39" i="3"/>
  <c r="L39" i="3"/>
  <c r="I39" i="3"/>
  <c r="G39" i="3"/>
  <c r="F39" i="3"/>
  <c r="E39" i="3"/>
  <c r="D39" i="3"/>
  <c r="C39" i="3"/>
  <c r="P38" i="3"/>
  <c r="P37" i="3"/>
  <c r="P36" i="3"/>
  <c r="P35" i="3"/>
  <c r="P34" i="3"/>
  <c r="M33" i="3"/>
  <c r="P33" i="3" s="1"/>
  <c r="O42" i="3"/>
  <c r="N42" i="3"/>
  <c r="M42" i="3"/>
  <c r="L42" i="3"/>
  <c r="J42" i="3"/>
  <c r="G57" i="3" s="1"/>
  <c r="I63" i="3" s="1"/>
  <c r="I42" i="3"/>
  <c r="H32" i="3"/>
  <c r="G32" i="3"/>
  <c r="G42" i="3" s="1"/>
  <c r="F32" i="3"/>
  <c r="F42" i="3" s="1"/>
  <c r="E32" i="3"/>
  <c r="E42" i="3" s="1"/>
  <c r="D32" i="3"/>
  <c r="D42" i="3" s="1"/>
  <c r="C32" i="3"/>
  <c r="C42" i="3" s="1"/>
  <c r="B32" i="3"/>
  <c r="P32" i="3" l="1"/>
  <c r="G60" i="3"/>
  <c r="H42" i="3"/>
  <c r="C48" i="3"/>
  <c r="C49" i="3"/>
  <c r="C51" i="3"/>
  <c r="P39" i="3"/>
  <c r="C50" i="3" s="1"/>
  <c r="B18" i="1"/>
  <c r="Q9" i="1"/>
  <c r="H6" i="1"/>
  <c r="D6" i="1"/>
  <c r="G18" i="1"/>
  <c r="Z6" i="1"/>
  <c r="O18" i="1"/>
  <c r="AA6" i="1"/>
  <c r="AA7" i="1"/>
  <c r="AB7" i="1" s="1"/>
  <c r="P7" i="1"/>
  <c r="AP7" i="1"/>
  <c r="AP13" i="1" s="1"/>
  <c r="AA10" i="1"/>
  <c r="AB10" i="1" s="1"/>
  <c r="P10" i="1"/>
  <c r="AA12" i="1"/>
  <c r="AB12" i="1" s="1"/>
  <c r="P12" i="1"/>
  <c r="AA13" i="1"/>
  <c r="AB13" i="1" s="1"/>
  <c r="P13" i="1"/>
  <c r="D20" i="1"/>
  <c r="Y16" i="1"/>
  <c r="P16" i="1"/>
  <c r="G20" i="1"/>
  <c r="Z16" i="1"/>
  <c r="E20" i="1"/>
  <c r="C21" i="1"/>
  <c r="H38" i="1"/>
  <c r="J38" i="1" s="1"/>
  <c r="L38" i="1" s="1"/>
  <c r="D38" i="1"/>
  <c r="Q57" i="1"/>
  <c r="AF45" i="1"/>
  <c r="S45" i="1"/>
  <c r="AG45" i="1"/>
  <c r="C158" i="1" s="1"/>
  <c r="C170" i="1" s="1"/>
  <c r="U57" i="1"/>
  <c r="V48" i="1"/>
  <c r="V57" i="1" s="1"/>
  <c r="R56" i="1"/>
  <c r="R57" i="1" s="1"/>
  <c r="J56" i="1"/>
  <c r="S56" i="1"/>
  <c r="H57" i="1"/>
  <c r="J57" i="1" s="1"/>
  <c r="D57" i="1"/>
  <c r="AF57" i="1"/>
  <c r="AB57" i="1"/>
  <c r="AG57" i="1"/>
  <c r="H75" i="1"/>
  <c r="J75" i="1" s="1"/>
  <c r="L75" i="1" s="1"/>
  <c r="D75" i="1"/>
  <c r="B159" i="1"/>
  <c r="D159" i="1" s="1"/>
  <c r="M84" i="1"/>
  <c r="M85" i="1"/>
  <c r="M93" i="1"/>
  <c r="M94" i="1"/>
  <c r="J95" i="1"/>
  <c r="L95" i="1" s="1"/>
  <c r="P120" i="1"/>
  <c r="P121" i="1" s="1"/>
  <c r="M102" i="1"/>
  <c r="K103" i="1"/>
  <c r="J103" i="1"/>
  <c r="K104" i="1"/>
  <c r="M104" i="1" s="1"/>
  <c r="J104" i="1"/>
  <c r="K105" i="1"/>
  <c r="M105" i="1" s="1"/>
  <c r="J105" i="1"/>
  <c r="K106" i="1"/>
  <c r="M106" i="1" s="1"/>
  <c r="J106" i="1"/>
  <c r="K107" i="1"/>
  <c r="M107" i="1" s="1"/>
  <c r="J107" i="1"/>
  <c r="K108" i="1"/>
  <c r="M108" i="1" s="1"/>
  <c r="J108" i="1"/>
  <c r="M109" i="1"/>
  <c r="K110" i="1"/>
  <c r="J110" i="1"/>
  <c r="L110" i="1" s="1"/>
  <c r="K111" i="1"/>
  <c r="J111" i="1"/>
  <c r="L111" i="1" s="1"/>
  <c r="K112" i="1"/>
  <c r="J112" i="1"/>
  <c r="L112" i="1" s="1"/>
  <c r="H113" i="1"/>
  <c r="J113" i="1" s="1"/>
  <c r="L113" i="1" s="1"/>
  <c r="D113" i="1"/>
  <c r="F119" i="1"/>
  <c r="E119" i="1"/>
  <c r="F121" i="1"/>
  <c r="E121" i="1"/>
  <c r="C41" i="2"/>
  <c r="E45" i="2" s="1"/>
  <c r="C40" i="2"/>
  <c r="C39" i="2"/>
  <c r="O29" i="2"/>
  <c r="D39" i="2"/>
  <c r="R29" i="2"/>
  <c r="J47" i="2"/>
  <c r="J41" i="2"/>
  <c r="L48" i="2"/>
  <c r="L41" i="2"/>
  <c r="O36" i="2"/>
  <c r="D50" i="2" s="1"/>
  <c r="T31" i="2"/>
  <c r="R31" i="2"/>
  <c r="T32" i="2"/>
  <c r="R32" i="2"/>
  <c r="T33" i="2"/>
  <c r="R33" i="2"/>
  <c r="T34" i="2"/>
  <c r="R34" i="2"/>
  <c r="R36" i="2"/>
  <c r="D76" i="2"/>
  <c r="C52" i="2"/>
  <c r="G48" i="2"/>
  <c r="C85" i="2"/>
  <c r="C76" i="2"/>
  <c r="E48" i="2"/>
  <c r="D77" i="2"/>
  <c r="G49" i="2"/>
  <c r="C86" i="2"/>
  <c r="C77" i="2"/>
  <c r="E49" i="2"/>
  <c r="D59" i="2"/>
  <c r="E59" i="2" s="1"/>
  <c r="D58" i="2"/>
  <c r="E58" i="2" s="1"/>
  <c r="E55" i="2"/>
  <c r="E56" i="2"/>
  <c r="G100" i="2"/>
  <c r="H93" i="2"/>
  <c r="H100" i="2" s="1"/>
  <c r="D25" i="4"/>
  <c r="D24" i="4"/>
  <c r="D23" i="4"/>
  <c r="D22" i="4"/>
  <c r="D21" i="4"/>
  <c r="D20" i="4"/>
  <c r="G20" i="4" s="1"/>
  <c r="C17" i="4"/>
  <c r="G17" i="4" s="1"/>
  <c r="G16" i="4"/>
  <c r="D17" i="4"/>
  <c r="H17" i="4" s="1"/>
  <c r="H16" i="4"/>
  <c r="E17" i="4"/>
  <c r="J16" i="4"/>
  <c r="I16" i="4"/>
  <c r="L17" i="4"/>
  <c r="F17" i="4"/>
  <c r="F22" i="4"/>
  <c r="G21" i="4"/>
  <c r="C41" i="5"/>
  <c r="O41" i="5" s="1"/>
  <c r="O30" i="5"/>
  <c r="G30" i="6"/>
  <c r="G40" i="6" s="1"/>
  <c r="O27" i="6"/>
  <c r="C40" i="6"/>
  <c r="O40" i="6" s="1"/>
  <c r="O30" i="6"/>
  <c r="C52" i="3" l="1"/>
  <c r="F23" i="4"/>
  <c r="G22" i="4"/>
  <c r="L25" i="4"/>
  <c r="L28" i="4" s="1"/>
  <c r="L21" i="4"/>
  <c r="J17" i="4"/>
  <c r="I17" i="4"/>
  <c r="E77" i="2"/>
  <c r="G51" i="2"/>
  <c r="G50" i="2"/>
  <c r="D80" i="2"/>
  <c r="E76" i="2"/>
  <c r="C87" i="2"/>
  <c r="C78" i="2"/>
  <c r="E50" i="2"/>
  <c r="D44" i="2"/>
  <c r="D41" i="2"/>
  <c r="C42" i="2"/>
  <c r="O39" i="2"/>
  <c r="M112" i="1"/>
  <c r="M111" i="1"/>
  <c r="M110" i="1"/>
  <c r="M103" i="1"/>
  <c r="B160" i="1"/>
  <c r="D160" i="1" s="1"/>
  <c r="M113" i="1"/>
  <c r="M95" i="1"/>
  <c r="AH57" i="1"/>
  <c r="S57" i="1"/>
  <c r="AH45" i="1"/>
  <c r="AH38" i="1" s="1"/>
  <c r="B158" i="1"/>
  <c r="Q120" i="1"/>
  <c r="Q121" i="1" s="1"/>
  <c r="AB16" i="1"/>
  <c r="P11" i="1"/>
  <c r="Q10" i="1"/>
  <c r="AA18" i="1"/>
  <c r="Z18" i="1"/>
  <c r="AB18" i="1" s="1"/>
  <c r="D18" i="1"/>
  <c r="Y6" i="1"/>
  <c r="H18" i="1"/>
  <c r="J6" i="1"/>
  <c r="P42" i="3"/>
  <c r="D48" i="3"/>
  <c r="Q9" i="3" l="1"/>
  <c r="Q10" i="3"/>
  <c r="D50" i="3"/>
  <c r="D51" i="3"/>
  <c r="D49" i="3"/>
  <c r="D52" i="3" s="1"/>
  <c r="Q5" i="3"/>
  <c r="Q6" i="3"/>
  <c r="Q7" i="3"/>
  <c r="Q8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8" i="3"/>
  <c r="Q29" i="3"/>
  <c r="Q30" i="3"/>
  <c r="Q31" i="3"/>
  <c r="Q34" i="3"/>
  <c r="Q35" i="3"/>
  <c r="Q36" i="3"/>
  <c r="Q37" i="3"/>
  <c r="Q38" i="3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2" i="5"/>
  <c r="P33" i="5"/>
  <c r="P34" i="5"/>
  <c r="P36" i="5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8" i="6"/>
  <c r="P29" i="6"/>
  <c r="P31" i="6"/>
  <c r="P32" i="6"/>
  <c r="P33" i="6"/>
  <c r="P34" i="6"/>
  <c r="P35" i="6"/>
  <c r="P36" i="6"/>
  <c r="P37" i="6"/>
  <c r="P38" i="6"/>
  <c r="P39" i="6"/>
  <c r="P30" i="6"/>
  <c r="P40" i="6"/>
  <c r="P27" i="6"/>
  <c r="J18" i="1"/>
  <c r="L6" i="1"/>
  <c r="L18" i="1" s="1"/>
  <c r="Y18" i="1"/>
  <c r="AB6" i="1"/>
  <c r="B170" i="1"/>
  <c r="D170" i="1" s="1"/>
  <c r="D158" i="1"/>
  <c r="D51" i="2"/>
  <c r="V3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29" i="2" s="1"/>
  <c r="P31" i="2"/>
  <c r="P32" i="2"/>
  <c r="P33" i="2"/>
  <c r="P34" i="2"/>
  <c r="P35" i="2"/>
  <c r="R39" i="2"/>
  <c r="E78" i="2"/>
  <c r="F24" i="4"/>
  <c r="G23" i="4"/>
  <c r="Q32" i="3" l="1"/>
  <c r="F25" i="4"/>
  <c r="G25" i="4" s="1"/>
  <c r="G24" i="4"/>
  <c r="P36" i="2"/>
  <c r="P39" i="2"/>
  <c r="C88" i="2"/>
  <c r="C79" i="2"/>
  <c r="E51" i="2"/>
  <c r="D52" i="2"/>
  <c r="P38" i="5"/>
  <c r="P41" i="5" s="1"/>
  <c r="Q39" i="3"/>
  <c r="Q42" i="3"/>
  <c r="E52" i="2" l="1"/>
  <c r="O48" i="2"/>
  <c r="O49" i="2"/>
  <c r="O50" i="2"/>
  <c r="O51" i="2"/>
  <c r="E79" i="2"/>
  <c r="C80" i="2"/>
  <c r="E80" i="2" s="1"/>
  <c r="C89" i="2"/>
  <c r="D86" i="2" l="1"/>
  <c r="D85" i="2"/>
  <c r="D87" i="2"/>
  <c r="D88" i="2"/>
  <c r="D8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8" authorId="0" shapeId="0" xr:uid="{00000000-0006-0000-0000-000001000000}">
      <text>
        <r>
          <rPr>
            <sz val="10"/>
            <rFont val="Arial"/>
            <family val="2"/>
          </rPr>
          <t>ADICIONADOS R$ 72,56 para ficar igual ao SIAFE</t>
        </r>
      </text>
    </comment>
    <comment ref="O8" authorId="0" shapeId="0" xr:uid="{00000000-0006-0000-0000-000002000000}">
      <text>
        <r>
          <rPr>
            <sz val="10"/>
            <rFont val="Arial"/>
            <family val="2"/>
          </rPr>
          <t>ADICIONADOS r$ 0,91 PARA IGUALAR AO SIAFI</t>
        </r>
      </text>
    </comment>
    <comment ref="AI9" authorId="0" shapeId="0" xr:uid="{00000000-0006-0000-0000-000003000000}">
      <text>
        <r>
          <rPr>
            <sz val="10"/>
            <rFont val="Arial"/>
            <family val="2"/>
          </rPr>
          <t>Excluir 32855,95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O18" authorId="0" shapeId="0" xr:uid="{00000000-0006-0000-0100-000002000000}">
      <text>
        <r>
          <rPr>
            <sz val="10"/>
            <rFont val="Arial"/>
            <family val="2"/>
          </rPr>
          <t>A quantia de agosto (R$ 2.000,13) não foi contabilizada no SIAFE</t>
        </r>
      </text>
    </comment>
    <comment ref="J39" authorId="0" shapeId="0" xr:uid="{00000000-0006-0000-0100-000001000000}">
      <text>
        <r>
          <rPr>
            <sz val="10"/>
            <rFont val="Arial"/>
            <family val="2"/>
          </rPr>
          <t xml:space="preserve">A quantia de R$ 2.000,13 de envio de selos não foi contabilizada no SIAFE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tc={599B3788-6F91-4C76-A851-309095F772FD}</author>
    <author>Ingrid Monteiro Andrade Basto de Gois</author>
  </authors>
  <commentList>
    <comment ref="E48" authorId="0" shapeId="0" xr:uid="{599B3788-6F91-4C76-A851-309095F772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custas processuais/recuperadas/divida ativa</t>
      </text>
    </comment>
    <comment ref="E49" authorId="1" shapeId="0" xr:uid="{8A2EF933-B0B3-4315-811C-3FFBACF187AD}">
      <text>
        <r>
          <rPr>
            <sz val="10"/>
            <color rgb="FF000000"/>
            <rFont val="Arial"/>
            <charset val="1"/>
          </rPr>
          <t xml:space="preserve">Ingrid Monteiro Andrade Basto de Gois:
vendas de selos/emolumentos extra judiciais
</t>
        </r>
      </text>
    </comment>
    <comment ref="E51" authorId="1" shapeId="0" xr:uid="{115B547B-9A16-483E-958D-F523D2B81EBA}">
      <text>
        <r>
          <rPr>
            <sz val="10"/>
            <color rgb="FF000000"/>
            <rFont val="Arial"/>
            <charset val="1"/>
          </rPr>
          <t>Ingrid Monteiro Andrade Basto de Gois:
demais receitas</t>
        </r>
      </text>
    </comment>
  </commentList>
</comments>
</file>

<file path=xl/sharedStrings.xml><?xml version="1.0" encoding="utf-8"?>
<sst xmlns="http://schemas.openxmlformats.org/spreadsheetml/2006/main" count="1038" uniqueCount="362">
  <si>
    <t>conta</t>
  </si>
  <si>
    <t>EMOLUMENTOS E CUSTAS JUDICIAIS 2023</t>
  </si>
  <si>
    <t>Processo 8525633-69.2023.8.06.0000 – AUDITORIA</t>
  </si>
  <si>
    <t>CUSTAS PROCESSUAIS</t>
  </si>
  <si>
    <t>CUSTAS RECUPERADAS</t>
  </si>
  <si>
    <t>TOTAL CUSTAS PROCESSUAIS</t>
  </si>
  <si>
    <t>CUSTAS DA DÍVIDA ATIVA</t>
  </si>
  <si>
    <t>TAXA OFICIAIS DE JUSTIÇA</t>
  </si>
  <si>
    <t>% DESTINADO AO FUNSEG</t>
  </si>
  <si>
    <t>MÊS</t>
  </si>
  <si>
    <t>DAES</t>
  </si>
  <si>
    <t>REJEITADOS</t>
  </si>
  <si>
    <t>TOTAL</t>
  </si>
  <si>
    <t>SUB-TOTAL</t>
  </si>
  <si>
    <t>AJUSTE</t>
  </si>
  <si>
    <t>CUSTAS</t>
  </si>
  <si>
    <t>RECUPERADA</t>
  </si>
  <si>
    <t>DÍVIDA ATIVA</t>
  </si>
  <si>
    <t>custas</t>
  </si>
  <si>
    <t>recup</t>
  </si>
  <si>
    <t>dívida</t>
  </si>
  <si>
    <t>total</t>
  </si>
  <si>
    <t>3% total</t>
  </si>
  <si>
    <t>TRANSF</t>
  </si>
  <si>
    <t>OBSERVAÇÕES:</t>
  </si>
  <si>
    <t>Janeiro</t>
  </si>
  <si>
    <t>CPA  8503509-92.2023.8.06.0000</t>
  </si>
  <si>
    <t>Fevereiro</t>
  </si>
  <si>
    <t>CPA nº 8506647-67.2023.8.06.0000</t>
  </si>
  <si>
    <t>No relatório da AUDIN foi considerado no mês de fev/2023 o valor relativo a dez/22(R$ 313.394,11)</t>
  </si>
  <si>
    <t>Março</t>
  </si>
  <si>
    <t>CPA nº 8508905-50.2023.8.06.0000</t>
  </si>
  <si>
    <t>Valor de fev/2023 e mar entraram em abril</t>
  </si>
  <si>
    <t>Abril</t>
  </si>
  <si>
    <t>CPA nº 8511380-76.2023.8.06.0000</t>
  </si>
  <si>
    <t>Maio</t>
  </si>
  <si>
    <t>CPA nº 8518333-56.2023.8.06.0000</t>
  </si>
  <si>
    <t>Junho</t>
  </si>
  <si>
    <t>CPA nº 8516027-17.2023.8.06.0000</t>
  </si>
  <si>
    <t>Julho</t>
  </si>
  <si>
    <t>Agosto</t>
  </si>
  <si>
    <t>Setembro</t>
  </si>
  <si>
    <t>CPA 8522700-26.2023.8.06.0000</t>
  </si>
  <si>
    <t>Outubro</t>
  </si>
  <si>
    <t>CPA 8525398-05.2023.8.06.0000</t>
  </si>
  <si>
    <t>Novembro</t>
  </si>
  <si>
    <t>Dezembro</t>
  </si>
  <si>
    <t>Total</t>
  </si>
  <si>
    <t>dez</t>
  </si>
  <si>
    <t>EMOLUMENTOS E CUSTAS EXTRAJUDICIAIS 2023</t>
  </si>
  <si>
    <t>FERMOJU</t>
  </si>
  <si>
    <t>DÉBITOS DE CORREIÇÃO</t>
  </si>
  <si>
    <t>TOTAL EXTRAJUDICIAIS</t>
  </si>
  <si>
    <t xml:space="preserve">VENDA DE SELOS </t>
  </si>
  <si>
    <t>RECEIITA 1122010198</t>
  </si>
  <si>
    <t>RECEITA 1122010137</t>
  </si>
  <si>
    <t>TED</t>
  </si>
  <si>
    <t xml:space="preserve"> </t>
  </si>
  <si>
    <t>SERVIÇOS PRESTADOS PELO FERMOJU</t>
  </si>
  <si>
    <t>TARIFA DE INSCRIÇÕES EM CONCURSOS</t>
  </si>
  <si>
    <t>RECEITA SOBRE A VENDA DE LIVROS</t>
  </si>
  <si>
    <t>DISTRIBUIÇÃO DE TÍTULOS PARA PROTESTO</t>
  </si>
  <si>
    <t>SERVIÇOS DE COMUNICAÇÃO</t>
  </si>
  <si>
    <t>DIÁRIO DA JUSTIÇA</t>
  </si>
  <si>
    <t>SUBTOTAL OUTROS SERVIÇOS DE COMUNICAÇÃO</t>
  </si>
  <si>
    <t>ESMEC (SERVIÇOS EDUCACIONAIS)</t>
  </si>
  <si>
    <t>CRECHE</t>
  </si>
  <si>
    <t>ENVIO DE SELOS VIA PAC</t>
  </si>
  <si>
    <t>OUTROS SERVIÇOS (CRECHE + ENVIO DE SELOS VIA PAC)</t>
  </si>
  <si>
    <t>TOTAL SERVIÇOS PRESTADOS PELO FERMOJU</t>
  </si>
  <si>
    <t>RECEITA 1611020101</t>
  </si>
  <si>
    <t>RECEITA 1611010107</t>
  </si>
  <si>
    <t>MULTAS JUDICIAIS 2023</t>
  </si>
  <si>
    <t>MULTAS CONTRATUAIS</t>
  </si>
  <si>
    <t>MULTAS JUDICIAIS</t>
  </si>
  <si>
    <t>TOTAL DAS MULTAS</t>
  </si>
  <si>
    <t>EXCEDENTE</t>
  </si>
  <si>
    <t>INDENIZAÇÕES / RESTITUIÇÕES (OUTRAS RESTITUIÇÕES)</t>
  </si>
  <si>
    <t>INDENIZAÇÕES</t>
  </si>
  <si>
    <t>RESTITUIÇÕES</t>
  </si>
  <si>
    <t>EXCEDENTES AO TETO (OUTRAS RESTITUIÇÕES)</t>
  </si>
  <si>
    <t>TOTAL INDENIZAÇÕES / RESTITUIÇÕES</t>
  </si>
  <si>
    <t>RESTITUIÇÕES DIVERSAS</t>
  </si>
  <si>
    <t>RESTITUIÇÕES EXCEDENTE AO TETO REMUNERATÓRIO 2022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</si>
  <si>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</si>
  <si>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</si>
  <si>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</si>
  <si>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</si>
  <si>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</si>
  <si>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</si>
  <si>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</si>
  <si>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</si>
  <si>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</si>
  <si>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</si>
  <si>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</si>
  <si>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</si>
  <si>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2022</t>
  </si>
  <si>
    <t>ALIENAÇÕES</t>
  </si>
  <si>
    <t>ALIENAÇÃO BENS MÓVEIS</t>
  </si>
  <si>
    <t>ALIENAÇÃO BENS IMÓVEIS URBANOS</t>
  </si>
  <si>
    <t>ALINEAÇÃO BENS MÓVEIS RURAIS</t>
  </si>
  <si>
    <t>TOTAL ALIENAÇÕES FERMOJU</t>
  </si>
  <si>
    <t>ALUGUÉIS</t>
  </si>
  <si>
    <t>RECEITAS EVENTUAIS</t>
  </si>
  <si>
    <t>FUNSEG (20%)</t>
  </si>
  <si>
    <t xml:space="preserve">Com Excedente ao teto </t>
  </si>
  <si>
    <t xml:space="preserve">Sem Excedente ao teo </t>
  </si>
  <si>
    <t>FIANÇAS CRIMINAIS</t>
  </si>
  <si>
    <t>FIANÇAS</t>
  </si>
  <si>
    <t xml:space="preserve">não </t>
  </si>
  <si>
    <t>TOTAÇ</t>
  </si>
  <si>
    <t>ARRECADAÇÃO MENSAL POR PRODUTO DE RECEITA</t>
  </si>
  <si>
    <t>ARRECADAÇÃO FERMOJU – EXERCÍCIO 2025 – ATUALIZADO ATÉ 20/03/2025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</si>
  <si>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</si>
  <si>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</si>
  <si>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</si>
  <si>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</si>
  <si>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</si>
  <si>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</si>
  <si>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</si>
  <si>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</si>
  <si>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</si>
  <si>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</si>
  <si>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</si>
  <si>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</si>
  <si>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% ACUMULADO / RECEITA TOTAL</t>
  </si>
  <si>
    <t>PREVISAÕ ATUALIZADA</t>
  </si>
  <si>
    <t>PREVISÃO PARA 2024 COM IPCA PROJETADO DE 6,03%</t>
  </si>
  <si>
    <r>
      <rPr>
        <b/>
        <sz val="12"/>
        <color rgb="FFFDE9A9"/>
        <rFont val="Calibri1"/>
        <charset val="1"/>
      </rPr>
      <t xml:space="preserve">DAEs </t>
    </r>
    <r>
      <rPr>
        <sz val="11"/>
        <color rgb="FF000000"/>
        <rFont val="Calibri1"/>
        <charset val="1"/>
      </rPr>
      <t>(VALORES EM R$)</t>
    </r>
  </si>
  <si>
    <t>CUSTAS JUDICIAIS RECUPERADAS</t>
  </si>
  <si>
    <t>CUSTAS JUDICIAIS DÍVIDA ATIVA</t>
  </si>
  <si>
    <t>EMOLUMENTOS (FERMOJU)</t>
  </si>
  <si>
    <t>VENDA DE SELOS</t>
  </si>
  <si>
    <t xml:space="preserve">- </t>
  </si>
  <si>
    <t> </t>
  </si>
  <si>
    <t>TARIFA DE INSCRIÇÃO EM CONCURSOS</t>
  </si>
  <si>
    <t>ESMEC</t>
  </si>
  <si>
    <t>ALIENAÇÃO DE IMÓVEIS RURAIS</t>
  </si>
  <si>
    <t>ALIENAÇÃO DE IMÓVEIS URBANOS</t>
  </si>
  <si>
    <t>ALIENAÇÃO DE BENS MÓVEIS</t>
  </si>
  <si>
    <t>RESTITUIÇÃO DE EXCEDENTES AO TETO + OUTRAS RESTITUICOES</t>
  </si>
  <si>
    <t>INDENIZAÇÕES DIVERSAS</t>
  </si>
  <si>
    <t>RENDIMENTOS</t>
  </si>
  <si>
    <t>RENDIMENTOS FONTE 29</t>
  </si>
  <si>
    <t>RENDIMENTOS FONTE 70</t>
  </si>
  <si>
    <t>SPREAD DEPÓSITOS JUDICIAIS</t>
  </si>
  <si>
    <t>SPREAD PRECATÓRIOS</t>
  </si>
  <si>
    <t>SPREAD FIANÇAS</t>
  </si>
  <si>
    <t>TOTAL RENDIMENTOS</t>
  </si>
  <si>
    <r>
      <rPr>
        <b/>
        <sz val="13"/>
        <color rgb="FFFDE9A9"/>
        <rFont val="Calibri"/>
        <family val="2"/>
        <charset val="1"/>
      </rPr>
      <t xml:space="preserve">CONSOLIDADO: DAEs + RENDIMENTOS </t>
    </r>
    <r>
      <rPr>
        <sz val="11"/>
        <color rgb="FF000000"/>
        <rFont val="Calibri"/>
        <family val="2"/>
        <charset val="1"/>
      </rPr>
      <t>(VALORES EM R$)</t>
    </r>
  </si>
  <si>
    <t>TOTAL CONSOLIDADO</t>
  </si>
  <si>
    <t>=</t>
  </si>
  <si>
    <t>processos</t>
  </si>
  <si>
    <t>CP</t>
  </si>
  <si>
    <t>dpc</t>
  </si>
  <si>
    <t>SELOS</t>
  </si>
  <si>
    <t>mp</t>
  </si>
  <si>
    <t>EMOLUMENTOS</t>
  </si>
  <si>
    <t>EVENTUAIS</t>
  </si>
  <si>
    <t>RECEITA</t>
  </si>
  <si>
    <t>1ºQUADRIM. 2022</t>
  </si>
  <si>
    <t>1º QUADRIM 2023</t>
  </si>
  <si>
    <t>CRESCIMENTO</t>
  </si>
  <si>
    <t>EMOLUMENTOS EXTRAJUDICIAIS (FERMOJU + SELOS)</t>
  </si>
  <si>
    <t>OUTRAS RECEITAS</t>
  </si>
  <si>
    <t>ALIENÇÃO DE IMÓVEIS URBANOS</t>
  </si>
  <si>
    <t>RESTITUIÇÃO DE EXCEDENTES AO TETO</t>
  </si>
  <si>
    <t>1ºQUADRIM. 2023</t>
  </si>
  <si>
    <t>1º QUADRIM 2022</t>
  </si>
  <si>
    <t>RESUMO DA ARRECADAÇÃO</t>
  </si>
  <si>
    <t>ARRECADAÇÃO (R$)</t>
  </si>
  <si>
    <t>% / TOTAL</t>
  </si>
  <si>
    <t>RENDIMENTOS BANCÁRIOS</t>
  </si>
  <si>
    <t>SEQ</t>
  </si>
  <si>
    <t>DESCRIÇÃO DA RECEITA SIAFI</t>
  </si>
  <si>
    <t>NOMENCLATURA AMBIENTE SEGURO</t>
  </si>
  <si>
    <t>CÓD RECEITA SEFAZ</t>
  </si>
  <si>
    <t>CÓD PRODUTO SEFAZ</t>
  </si>
  <si>
    <t>SIAFI</t>
  </si>
  <si>
    <t>AMB. SEGURO</t>
  </si>
  <si>
    <t>diferença</t>
  </si>
  <si>
    <t>   1122020101 - Emolumentos e Custas Judiciais</t>
  </si>
  <si>
    <t>1.1 Custas Processuais</t>
  </si>
  <si>
    <t>6491</t>
  </si>
  <si>
    <t>62975</t>
  </si>
  <si>
    <t>1.2 Custas Judiciais Recuperadas</t>
  </si>
  <si>
    <t>62950</t>
  </si>
  <si>
    <t>1911010305 - Receita da Dívida Ativa de Custas Judiciais</t>
  </si>
  <si>
    <t>Custas Judicais – Dívida Ativa</t>
  </si>
  <si>
    <t>63531</t>
  </si>
  <si>
    <t>1611010199 - Serviços Administrativos e Comerciais Gerais – Principal</t>
  </si>
  <si>
    <t>3.1 CRECHE</t>
  </si>
  <si>
    <t>8095</t>
  </si>
  <si>
    <t>62967</t>
  </si>
  <si>
    <t>3.2 ENVIO DE SELOS VIA PAC</t>
  </si>
  <si>
    <t>92973</t>
  </si>
  <si>
    <t>OBS.: ENVIO DE SELOS NÃO ESTÁ CONTABILIZADO NO SIAFI</t>
  </si>
  <si>
    <t>Unidade Gestora / Natureza da Receita</t>
  </si>
  <si>
    <t>Receita Arrecadada Bruta SIAFE</t>
  </si>
  <si>
    <t>Deduções da Receita - Detalhamento</t>
  </si>
  <si>
    <t>Receita Arrecadada Líquida</t>
  </si>
  <si>
    <t>AMBIENTE SEGURO</t>
  </si>
  <si>
    <t>DIFERENÇA (Receita Arrecadada SIAFE – AMBIENTE SEGURO)</t>
  </si>
  <si>
    <t>(-) Deduções da Receita Realizada - FUNDEB</t>
  </si>
  <si>
    <t>(-) Deduções da Receita Realizada - Transferências Constitucionais e Legais a Municípios</t>
  </si>
  <si>
    <t xml:space="preserve"> (-) Deduções da Receita Realizada - Restituições</t>
  </si>
  <si>
    <t xml:space="preserve">   040101 - FUNDO ESPECIAL DE REAPARELHAMENTO E MODERNIZ DO JUDICIA</t>
  </si>
  <si>
    <t xml:space="preserve">      1122010137 - Venda de Selos de Autenticidade</t>
  </si>
  <si>
    <t xml:space="preserve">      1122010198 - Outros Emolumentos e Custas Extrajudiciais</t>
  </si>
  <si>
    <t xml:space="preserve">      1122020101 - Emolumentos e Custas Judiciais</t>
  </si>
  <si>
    <t xml:space="preserve">      1311011101 - Aluguéis</t>
  </si>
  <si>
    <t xml:space="preserve">      1321010126 - Remuneração de Depósitos Bancários - Selos de Autenticidade</t>
  </si>
  <si>
    <t xml:space="preserve">      1321050101 - Juros e Títulos de Renda</t>
  </si>
  <si>
    <t xml:space="preserve">      1611010107 - Outros Serviços de Comunicação</t>
  </si>
  <si>
    <t xml:space="preserve">      1611010199 - Serviços Administrativos e Comerciais Gerais - Principal</t>
  </si>
  <si>
    <t xml:space="preserve">      1911010305 - Receita da Dívida Ativa de Custas Judiciais</t>
  </si>
  <si>
    <t xml:space="preserve">      1911080101 - Multas Decorrentes de Sentenças Judiciais</t>
  </si>
  <si>
    <t xml:space="preserve">      1921990199 - Outras Indenizações</t>
  </si>
  <si>
    <t xml:space="preserve">      1922990116 - RESTITUIÇÃO TETO REMUNERATÓRIO - TITULARES INTERINOS</t>
  </si>
  <si>
    <t xml:space="preserve">      1999991198 - Outras Receitas Eventuais</t>
  </si>
  <si>
    <t xml:space="preserve">      1999993103 - Spread sobre Rendimentos de Precatórios Judiciais</t>
  </si>
  <si>
    <t xml:space="preserve">      1999993108 - Spread sobre Rendimentos de Depósitos Judiciais</t>
  </si>
  <si>
    <t xml:space="preserve">      1999993110 - Spread sobre Rendimentos de Fianças Criminais</t>
  </si>
  <si>
    <t>Receita por UG e Natureza - Receita Bruta, Deduções Detalhadas e Receita Líquida - De 2025/1 Até 2025/1</t>
  </si>
  <si>
    <t>Receita Arrecadada Bruta</t>
  </si>
  <si>
    <t>(-) Deduções da Receita Realizada - Restituições</t>
  </si>
  <si>
    <t>040101 - FUNDO ESPECIAL DE REAPARELHAMENTO E MODERNIZ DO JUDICIA</t>
  </si>
  <si>
    <t>1122010137 - Venda de Selos de Autenticidade</t>
  </si>
  <si>
    <t>1122010198 - Outros Emolumentos e Custas Extrajudiciais</t>
  </si>
  <si>
    <t>1122020101 - Emolumentos e Custas Judiciais</t>
  </si>
  <si>
    <t>1311011101 - Aluguéis</t>
  </si>
  <si>
    <t>1321010126 - Remuneração de Depósitos Bancários - Selos de Autenticidade</t>
  </si>
  <si>
    <t>1321050101 - Juros e Títulos de Renda</t>
  </si>
  <si>
    <t>1611010107 - Outros Serviços de Comunicação</t>
  </si>
  <si>
    <t>1611010199 - Serviços Administrativos e Comerciais Gerais - Principal</t>
  </si>
  <si>
    <t>1911080101 - Multas Decorrentes de Sentenças Judiciais</t>
  </si>
  <si>
    <t>1921990199 - Outras Indenizações</t>
  </si>
  <si>
    <t>1922990116 - Restituição Teto Remuneratório - Titulares Interinos</t>
  </si>
  <si>
    <t>1922990198 - Restituições Diversas</t>
  </si>
  <si>
    <t>1999991198 - Outras Receitas Eventuais</t>
  </si>
  <si>
    <t>1999993103 - Spread sobre Rendimentos de Precatórios Judiciais</t>
  </si>
  <si>
    <t>1999993108 - Spread sobre Rendimentos de Depósitos Judiciais</t>
  </si>
  <si>
    <t>Impresso em 13/02/2025 06:58 - Consulta: 007315 - Dados atualizados em: 13/02/2025 05:00:13</t>
  </si>
  <si>
    <t>RECEITAS FERMOJU - ARRECADAÇÃO BRUTA MENSAL ATÉ 07/04/2025</t>
  </si>
  <si>
    <t>ANO DE ARRECADAÇÃO</t>
  </si>
  <si>
    <t>VARIAÇÃO</t>
  </si>
  <si>
    <t>PROJEÇÕES ATUALIZADAS EM 20.03.2025</t>
  </si>
  <si>
    <t>ANO</t>
  </si>
  <si>
    <t>2022 x 2021</t>
  </si>
  <si>
    <t>2023 x 2022</t>
  </si>
  <si>
    <t>2024 X 2022</t>
  </si>
  <si>
    <t>2024 X 2023</t>
  </si>
  <si>
    <t>2025 X 2024</t>
  </si>
  <si>
    <t>PARA MARÇO/2025:</t>
  </si>
  <si>
    <t>COMPARATIVO: PROJEÇÃO MAR/25 X MAR/24</t>
  </si>
  <si>
    <t>PARA O EXERCÍCIO 2025:</t>
  </si>
  <si>
    <t>COMPARATIVO: PROJEÇÃO 2025 X REALIZAD0 2024</t>
  </si>
  <si>
    <t>RECEITA ACUMULADA EM 2025</t>
  </si>
  <si>
    <t>Média Mensal</t>
  </si>
  <si>
    <t>Fonte: SIAFE e AMBIENTE SEGURO (ambos SEFAZ)</t>
  </si>
  <si>
    <t>RECEITA ACUMULADA EM 2024 ATÉ FEVEREIRO</t>
  </si>
  <si>
    <t>ARRECADAÇÃO OBTIDA EM 2024 ATÉ NOVEMBRO (R$)</t>
  </si>
  <si>
    <t>META PARA 2024 (R$)</t>
  </si>
  <si>
    <t>ARRECADAÇÃO MENSAL NECESSÁRIA EM  PARA ATINGIR A META</t>
  </si>
  <si>
    <t>EVOLUÇÃO 1º TRIMESTRE 2025 X 1º TRIMESTRE 2024</t>
  </si>
  <si>
    <t>DESCONSIDERANDO CERCA DE R$ 9.000.000,00 DE FIANÇA ACUMULADA EM 2023 CONTABILIZADA NA RECEITA DE SET/2023</t>
  </si>
  <si>
    <t>RECEITA ACUMULADA EM 2024 MENOS R$ 9.000.000,00</t>
  </si>
  <si>
    <t>COMPARATIVO: ACUMULADO 2024 X 2023</t>
  </si>
  <si>
    <t>ARRECADAÇÃO MENSAL POR PRODUTO DE RECEITA – ARRECADAÇÃO FERMOJU  – EXERCÍCIO 2026</t>
  </si>
  <si>
    <t>AMB SEGU</t>
  </si>
  <si>
    <r>
      <rPr>
        <b/>
        <sz val="12"/>
        <color rgb="FF000000"/>
        <rFont val="Calibri1"/>
        <charset val="1"/>
      </rPr>
      <t xml:space="preserve">DAEs </t>
    </r>
    <r>
      <rPr>
        <sz val="11"/>
        <color rgb="FF000000"/>
        <rFont val="Calibri1"/>
        <charset val="1"/>
      </rPr>
      <t>(VALORES EM R$)</t>
    </r>
  </si>
  <si>
    <t>/</t>
  </si>
  <si>
    <t>62950- CUSTAS PROCESSUAIS</t>
  </si>
  <si>
    <t>62975- CUSTAS JUDICIAIS RECUPERADAS</t>
  </si>
  <si>
    <t>63531-  RECEITA DA DIVIDA ATIVA DE CUSTOS JUDICIAIS</t>
  </si>
  <si>
    <t>62948- OUTROS EMOLUMENTOS E CUSTAS EXTRA JUDICIAIS</t>
  </si>
  <si>
    <t>62947- VENDA DE SELOS DE AUTENTICIDADE</t>
  </si>
  <si>
    <t>62949- DEBITOS DE CORREIÇÃO</t>
  </si>
  <si>
    <t xml:space="preserve">62956- TARIFA DE INSCRIÇÃO EM CONCURSOS </t>
  </si>
  <si>
    <t>62957- RECEITA SOBRE A VENDA DE LIVROS</t>
  </si>
  <si>
    <t>62958- ESMEC</t>
  </si>
  <si>
    <t>62959- SERVIÇOS DE COMUNICAÇÃO</t>
  </si>
  <si>
    <t>62960- VENDA DE DIARIO</t>
  </si>
  <si>
    <t xml:space="preserve">62967- SERVICOS ADMINISTRATIVOS E COMERCIAIS GERAIS-CRECHE </t>
  </si>
  <si>
    <t>62970- DISTRIBUIÇÃO DE TÍTULOS PARA PROTESTO</t>
  </si>
  <si>
    <t>62973- SERVICOS ADMINISTRATIVOS E COMERCIAIS GERAIS – SELOS PAC</t>
  </si>
  <si>
    <t>RECEITA DE CESSAO DE DIREITO DE OPERACIONALIZACAO DA FOPAG</t>
  </si>
  <si>
    <t>62969- ALIENAÇÃO DE BENS MÓVEIS  ALIENACAO DE BENS MOVEIS E SEMOVENTES</t>
  </si>
  <si>
    <t xml:space="preserve">63320- RESTITUIÇÃO DE EXCEDENTES AO TETO + OUTRAS RESTITUICOES </t>
  </si>
  <si>
    <t xml:space="preserve">62963- INDENIZAÇÕES DIVERSAS </t>
  </si>
  <si>
    <t xml:space="preserve">62964- RESTITUIÇÕES DIVERSAS </t>
  </si>
  <si>
    <t xml:space="preserve">RESTITUIÇÕES DIVERSAS </t>
  </si>
  <si>
    <t>OUTRAS RESTITUICOES</t>
  </si>
  <si>
    <t>62955- ALUGUÉIS ( ALUGUEIS)</t>
  </si>
  <si>
    <t>62962-  OUTRAS RECEITAS EVENTUAIS</t>
  </si>
  <si>
    <t>62974- MULTAS CONTRATUAIS</t>
  </si>
  <si>
    <t>62961- MULTAS DECORRENTES DE SETENÇAS JUDICIAIS</t>
  </si>
  <si>
    <t>RENDIMENTOS FONTE 29 ( REMUNERACAO DE DEPOSITOS BANCARIOS – SELOS DE AUTENTICIDADE)</t>
  </si>
  <si>
    <t>RENDIMENTOS FONTE 70 (JUROS E TITULOS DE RENDA)</t>
  </si>
  <si>
    <t>SPREAD DEPÓSITOS JUDICIAIS ( SPREAD SOBRE RENDIMENTOS DE DEPOSITOS JUDICIAIS)</t>
  </si>
  <si>
    <t>SPREAD PRECATÓRIOS ( SPREAD SOBRE RENDIMENTOS DE PRECATORIOS JUDICIAIS)</t>
  </si>
  <si>
    <t>SPREAD FIANÇAS ( SPREAD SOBRE RENDIMENTOS DE FIANCAS CRIMINAIS)</t>
  </si>
  <si>
    <r>
      <rPr>
        <sz val="13"/>
        <color rgb="FF000000"/>
        <rFont val="Calibri"/>
        <family val="2"/>
        <charset val="1"/>
      </rPr>
      <t xml:space="preserve">CONSOLIDADO: DAEs + RENDIMENTOS </t>
    </r>
    <r>
      <rPr>
        <sz val="11"/>
        <color rgb="FF000000"/>
        <rFont val="Calibri"/>
        <family val="2"/>
        <charset val="1"/>
      </rPr>
      <t>(VALORES EM R$)</t>
    </r>
  </si>
  <si>
    <t>RESUMO DA ARRECADAÇÃO 2026</t>
  </si>
  <si>
    <t>AGOSTO 2025</t>
  </si>
  <si>
    <t>FUNSEG</t>
  </si>
  <si>
    <t>FECDOJ</t>
  </si>
  <si>
    <t>AGOSTO 2026</t>
  </si>
  <si>
    <t>passando</t>
  </si>
  <si>
    <t>ARRECADAÇÃO FUNSEG 040301 – EXERCÍCIO 2026</t>
  </si>
  <si>
    <t>65020- CUSTAS PROCESSUAIS</t>
  </si>
  <si>
    <t>65021- CUSTAS JUDICIAIS RECUPERADAS</t>
  </si>
  <si>
    <t>65022-  RECEITA DA DIVIDA ATIVA DE CUSTOS JUDICIAIS</t>
  </si>
  <si>
    <t>- OUTROS EMOLUMENTOS E CUSTAS EXTRA JUDICIAIS</t>
  </si>
  <si>
    <t>- VENDA DE SELOS DE AUTENTICIDADE</t>
  </si>
  <si>
    <t>- DEBITOS DE CORREIÇÃO</t>
  </si>
  <si>
    <t xml:space="preserve">- TARIFA DE INSCRIÇÃO EM CONCURSOS </t>
  </si>
  <si>
    <t>- RECEITA SOBRE A VENDA DE LIVROS</t>
  </si>
  <si>
    <t>- ESMEC</t>
  </si>
  <si>
    <t>- SERVIÇOS DE COMUNICAÇÃO</t>
  </si>
  <si>
    <t>- VENDA DE DIARIO</t>
  </si>
  <si>
    <t xml:space="preserve">- SERVICOS ADMINISTRATIVOS E COMERCIAIS GERAIS-CRECHE </t>
  </si>
  <si>
    <t>- DISTRIBUIÇÃO DE TÍTULOS PARA PROTESTO</t>
  </si>
  <si>
    <t>- SERVICOS ADMINISTRATIVOS E COMERCIAIS GERAIS – SELOS PAC</t>
  </si>
  <si>
    <t>- ALIENAÇÃO DE BENS MÓVEIS  ALIENACAO DE BENS MOVEIS E SEMOVENTES</t>
  </si>
  <si>
    <t xml:space="preserve">- RESTITUIÇÃO DE EXCEDENTES AO TETO + OUTRAS RESTITUICOES </t>
  </si>
  <si>
    <t xml:space="preserve">- INDENIZAÇÕES DIVERSAS </t>
  </si>
  <si>
    <t xml:space="preserve">- RESTITUIÇÕES DIVERSAS </t>
  </si>
  <si>
    <t>65019- ALUGUÉIS ( ALUGUEIS)</t>
  </si>
  <si>
    <t>-  OUTRAS RECEITAS EVENTUAIS</t>
  </si>
  <si>
    <t>- MULTAS CONTRATUAIS</t>
  </si>
  <si>
    <t>- MULTAS DECORRENTES DE SETENÇAS JUDICIAIS</t>
  </si>
  <si>
    <t>JUROS SOBRE O CAPITAL PROPRIO</t>
  </si>
  <si>
    <r>
      <rPr>
        <b/>
        <sz val="13"/>
        <color rgb="FF000000"/>
        <rFont val="Calibri"/>
        <family val="2"/>
        <charset val="1"/>
      </rPr>
      <t xml:space="preserve">CONSOLIDADO: DAEs + RENDIMENTOS </t>
    </r>
    <r>
      <rPr>
        <sz val="11"/>
        <color rgb="FF000000"/>
        <rFont val="Calibri"/>
        <family val="2"/>
        <charset val="1"/>
      </rPr>
      <t>(VALORES EM R$)</t>
    </r>
  </si>
  <si>
    <t>ARRECADAÇÃO FECDOJ 040401 – EXERCÍCIO 2026</t>
  </si>
  <si>
    <t>62966- CUSTAS PROCESSUAIS</t>
  </si>
  <si>
    <t xml:space="preserve"> CUSTAS JUDICIAIS RECUPERADAS</t>
  </si>
  <si>
    <t xml:space="preserve"> RECEITA DA DIVIDA ATIVA DE CUSTOS JUDICIAIS</t>
  </si>
  <si>
    <t>OUTROS EMOLUMENTOS E CUSTAS EXTRA JUDICIAIS</t>
  </si>
  <si>
    <t xml:space="preserve"> VENDA DE SELOS DE AUTENTICIDADE</t>
  </si>
  <si>
    <t xml:space="preserve"> DEBITOS DE CORREIÇÃO</t>
  </si>
  <si>
    <t xml:space="preserve">TARIFA DE INSCRIÇÃO EM CONCURSOS </t>
  </si>
  <si>
    <t xml:space="preserve"> RECEITA SOBRE A VENDA DE LIVROS</t>
  </si>
  <si>
    <t xml:space="preserve"> SERVIÇOS DE COMUNICAÇÃO</t>
  </si>
  <si>
    <t>VENDA DE DIARIO</t>
  </si>
  <si>
    <t xml:space="preserve">SERVICOS ADMINISTRATIVOS E COMERCIAIS GERAIS-CRECHE </t>
  </si>
  <si>
    <t xml:space="preserve"> DISTRIBUIÇÃO DE TÍTULOS PARA PROTESTO</t>
  </si>
  <si>
    <t xml:space="preserve"> SERVICOS ADMINISTRATIVOS E COMERCIAIS GERAIS – SELOS PAC</t>
  </si>
  <si>
    <t>ALIENAÇÃO DE BENS MÓVEIS ( ALIENACAO DE BENS MOVEIS E SEMOVENTES</t>
  </si>
  <si>
    <t xml:space="preserve"> RESTITUIÇÃO DE EXCEDENTES AO TETO + OUTRAS RESTITUICOES </t>
  </si>
  <si>
    <t xml:space="preserve">INDENIZAÇÕES DIVERSAS </t>
  </si>
  <si>
    <t xml:space="preserve"> RESTITUIÇÕES DIVERSAS </t>
  </si>
  <si>
    <t xml:space="preserve"> ALUGUÉIS ( ALUGUEIS)</t>
  </si>
  <si>
    <t xml:space="preserve"> OUTRAS RECEITAS EVENTUAIS</t>
  </si>
  <si>
    <t xml:space="preserve"> MULTAS CONTRATUAIS</t>
  </si>
  <si>
    <t xml:space="preserve"> MULTAS DECORRENTES DE SETENÇAS JUDICIAIS</t>
  </si>
  <si>
    <t>Fermoju</t>
  </si>
  <si>
    <t>Judicial</t>
  </si>
  <si>
    <t>Extra Judicial</t>
  </si>
  <si>
    <t>Rendimento</t>
  </si>
  <si>
    <t>Funseg</t>
  </si>
  <si>
    <t>Fecdoj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</si>
</sst>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#,##0.00\ ;#,##0.00\ ;\-#\ ;@\ "/>
    <numFmt numFmtId="165" formatCode="#,##0.00\ ;[Red]\(#,##0.00\)"/>
    <numFmt numFmtId="166" formatCode="0.0"/>
    <numFmt numFmtId="167" formatCode="0.000"/>
    <numFmt numFmtId="168" formatCode="[$R$-416]\ #,##0.00;[Red]\-[$R$-416]\ #,##0.00"/>
    <numFmt numFmtId="169" formatCode="_(* #,##0.00_);_(* \(#,##0.00\);_(* \-??_);_(@_)"/>
    <numFmt numFmtId="170" formatCode="0.00%;[Red]\-0.00%"/>
    <numFmt numFmtId="171" formatCode="[$-416]mmm\-yy;@"/>
  </numFmts>
  <fonts count="97">
    <font>
      <sz val="10"/>
      <color rgb="FF000000"/>
      <name val="Arial"/>
      <charset val="1"/>
    </font>
    <font>
      <sz val="11"/>
      <color rgb="FF000000"/>
      <name val="Calibri1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1"/>
      <charset val="1"/>
    </font>
    <font>
      <sz val="14"/>
      <color rgb="FF000000"/>
      <name val="Calibri"/>
      <family val="2"/>
      <charset val="1"/>
    </font>
    <font>
      <sz val="10"/>
      <name val="Arial"/>
      <family val="2"/>
    </font>
    <font>
      <b/>
      <sz val="13"/>
      <color rgb="FF8B0000"/>
      <name val="Calibri"/>
      <family val="2"/>
      <charset val="1"/>
    </font>
    <font>
      <b/>
      <sz val="11"/>
      <color rgb="FF8B0000"/>
      <name val="Calibri"/>
      <family val="2"/>
      <charset val="1"/>
    </font>
    <font>
      <b/>
      <sz val="12"/>
      <color rgb="FFFDE9A9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DE9A9"/>
      <name val="Calibri1"/>
      <charset val="1"/>
    </font>
    <font>
      <b/>
      <sz val="15"/>
      <color rgb="FFFDE9A9"/>
      <name val="Calibri1"/>
      <charset val="1"/>
    </font>
    <font>
      <b/>
      <sz val="11"/>
      <color rgb="FF843C0B"/>
      <name val="Calibri"/>
      <family val="2"/>
      <charset val="1"/>
    </font>
    <font>
      <b/>
      <sz val="11"/>
      <color rgb="FFC9211E"/>
      <name val="Calibri"/>
      <family val="2"/>
      <charset val="1"/>
    </font>
    <font>
      <sz val="11"/>
      <color rgb="FF843C0B"/>
      <name val="Calibri"/>
      <family val="2"/>
      <charset val="1"/>
    </font>
    <font>
      <sz val="11"/>
      <color rgb="FF3465A4"/>
      <name val="Calibri"/>
      <family val="2"/>
      <charset val="1"/>
    </font>
    <font>
      <b/>
      <sz val="11"/>
      <color rgb="FF8B4513"/>
      <name val="Calibri"/>
      <family val="2"/>
      <charset val="1"/>
    </font>
    <font>
      <b/>
      <sz val="11"/>
      <color rgb="FF813709"/>
      <name val="Calibri"/>
      <family val="2"/>
      <charset val="1"/>
    </font>
    <font>
      <sz val="11"/>
      <color rgb="FF228B22"/>
      <name val="Calibri"/>
      <family val="2"/>
      <charset val="1"/>
    </font>
    <font>
      <sz val="11"/>
      <color rgb="FF8B4513"/>
      <name val="Calibri"/>
      <family val="2"/>
      <charset val="1"/>
    </font>
    <font>
      <b/>
      <sz val="11"/>
      <color rgb="FF3465A4"/>
      <name val="Calibri"/>
      <family val="2"/>
      <charset val="1"/>
    </font>
    <font>
      <sz val="11"/>
      <color rgb="FFC9211E"/>
      <name val="Calibri"/>
      <family val="2"/>
      <charset val="1"/>
    </font>
    <font>
      <b/>
      <sz val="11"/>
      <color rgb="FFB47804"/>
      <name val="Calibri"/>
      <family val="2"/>
      <charset val="1"/>
    </font>
    <font>
      <sz val="11"/>
      <color rgb="FFB47804"/>
      <name val="Calibri"/>
      <family val="2"/>
      <charset val="1"/>
    </font>
    <font>
      <b/>
      <sz val="12"/>
      <color rgb="FF843C0B"/>
      <name val="Calibri"/>
      <family val="2"/>
      <charset val="1"/>
    </font>
    <font>
      <b/>
      <sz val="11"/>
      <color rgb="FFFDE9A9"/>
      <name val="Calibri1"/>
      <charset val="1"/>
    </font>
    <font>
      <sz val="11"/>
      <color rgb="FF0000CD"/>
      <name val="Calibri"/>
      <family val="2"/>
      <charset val="1"/>
    </font>
    <font>
      <b/>
      <sz val="11"/>
      <color rgb="FF622502"/>
      <name val="Calibri"/>
      <family val="2"/>
      <charset val="1"/>
    </font>
    <font>
      <sz val="11"/>
      <color rgb="FF622502"/>
      <name val="Calibri"/>
      <family val="2"/>
      <charset val="1"/>
    </font>
    <font>
      <b/>
      <sz val="13"/>
      <color rgb="FFFDE9A9"/>
      <name val="Calibri"/>
      <family val="2"/>
      <charset val="1"/>
    </font>
    <font>
      <b/>
      <sz val="13"/>
      <color rgb="FF843C0B"/>
      <name val="Calibri"/>
      <family val="2"/>
      <charset val="1"/>
    </font>
    <font>
      <sz val="11"/>
      <color rgb="FFFFEBCD"/>
      <name val="Calibri"/>
      <family val="2"/>
      <charset val="1"/>
    </font>
    <font>
      <b/>
      <sz val="11"/>
      <color rgb="FFB22222"/>
      <name val="Calibri"/>
      <family val="2"/>
      <charset val="1"/>
    </font>
    <font>
      <sz val="11"/>
      <color rgb="FFB22222"/>
      <name val="Calibri"/>
      <family val="2"/>
      <charset val="1"/>
    </font>
    <font>
      <b/>
      <sz val="11"/>
      <color rgb="FF8D281E"/>
      <name val="Calibri1"/>
      <charset val="1"/>
    </font>
    <font>
      <b/>
      <sz val="12"/>
      <color rgb="FFFFEBCD"/>
      <name val="Calibri"/>
      <family val="2"/>
      <charset val="1"/>
    </font>
    <font>
      <b/>
      <sz val="11"/>
      <color rgb="FF8D281E"/>
      <name val="Calibri"/>
      <family val="2"/>
      <charset val="1"/>
    </font>
    <font>
      <sz val="11"/>
      <color rgb="FF622502"/>
      <name val="Calibri1"/>
      <charset val="1"/>
    </font>
    <font>
      <b/>
      <sz val="11"/>
      <color rgb="FF622502"/>
      <name val="Calibri1"/>
      <charset val="1"/>
    </font>
    <font>
      <b/>
      <sz val="11"/>
      <color rgb="FFFFEBCD"/>
      <name val="Calibri"/>
      <family val="2"/>
      <charset val="1"/>
    </font>
    <font>
      <sz val="8"/>
      <color rgb="FF000000"/>
      <name val="Tahoma"/>
      <family val="2"/>
      <charset val="1"/>
    </font>
    <font>
      <b/>
      <sz val="12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2"/>
      <color rgb="FF000000"/>
      <name val="Dialog.plain"/>
      <charset val="1"/>
    </font>
    <font>
      <sz val="7"/>
      <color rgb="FF000000"/>
      <name val="Tahoma"/>
      <family val="2"/>
      <charset val="1"/>
    </font>
    <font>
      <b/>
      <sz val="13"/>
      <color rgb="FF000000"/>
      <name val="Calibri"/>
      <family val="2"/>
      <charset val="1"/>
    </font>
    <font>
      <b/>
      <sz val="12"/>
      <color rgb="FF000000"/>
      <name val="Calibri1"/>
      <charset val="1"/>
    </font>
    <font>
      <b/>
      <sz val="15"/>
      <color rgb="FF000000"/>
      <name val="Calibri1"/>
      <charset val="1"/>
    </font>
    <font>
      <b/>
      <sz val="11"/>
      <color rgb="FF000000"/>
      <name val="Calibri1"/>
      <charset val="1"/>
    </font>
    <font>
      <sz val="13"/>
      <color rgb="FF000000"/>
      <name val="Calibri"/>
      <family val="2"/>
      <charset val="1"/>
    </font>
    <font>
      <sz val="11"/>
      <color rgb="FFC9211E"/>
      <name val="Calibri1"/>
      <charset val="1"/>
    </font>
    <font>
      <sz val="11"/>
      <color rgb="FFFFFFFF"/>
      <name val="Calibri1"/>
      <charset val="1"/>
    </font>
    <font>
      <sz val="10"/>
      <color rgb="FFFFFFFF"/>
      <name val="Calibri1"/>
      <charset val="1"/>
    </font>
    <font>
      <sz val="10"/>
      <color rgb="FF000000"/>
      <name val="Calibri1"/>
      <charset val="1"/>
    </font>
    <font>
      <b/>
      <sz val="10"/>
      <color rgb="FFFFFFFF"/>
      <name val="Calibri1"/>
      <charset val="1"/>
    </font>
    <font>
      <b/>
      <sz val="13"/>
      <color rgb="FFFFFFFF"/>
      <name val="Calibri1"/>
      <charset val="1"/>
    </font>
    <font>
      <sz val="13"/>
      <color rgb="FFFFFFFF"/>
      <name val="Calibri1"/>
      <charset val="1"/>
    </font>
    <font>
      <b/>
      <sz val="11"/>
      <color rgb="FFFFFFFF"/>
      <name val="Calibri1"/>
      <charset val="1"/>
    </font>
    <font>
      <b/>
      <sz val="15"/>
      <color rgb="FFFFFFFF"/>
      <name val="Calibri1"/>
      <charset val="1"/>
    </font>
    <font>
      <b/>
      <sz val="15"/>
      <color rgb="FFFFFFFF"/>
      <name val="Arial"/>
      <family val="2"/>
      <charset val="1"/>
    </font>
    <font>
      <b/>
      <sz val="12"/>
      <color rgb="FF023F62"/>
      <name val="Calibri1"/>
      <charset val="1"/>
    </font>
    <font>
      <b/>
      <sz val="11"/>
      <color rgb="FF023F62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23F62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023F62"/>
      <name val="Calibri"/>
      <family val="2"/>
      <charset val="1"/>
    </font>
    <font>
      <b/>
      <sz val="14"/>
      <color rgb="FF023F62"/>
      <name val="Calibri"/>
      <family val="2"/>
      <charset val="1"/>
    </font>
    <font>
      <b/>
      <sz val="12"/>
      <color rgb="FFFFFFFF"/>
      <name val="Calibri1"/>
      <charset val="1"/>
    </font>
    <font>
      <b/>
      <sz val="12"/>
      <color rgb="FFFFFFFF"/>
      <name val="Arial"/>
      <family val="2"/>
      <charset val="1"/>
    </font>
    <font>
      <b/>
      <sz val="12"/>
      <color rgb="FFDBE3F5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5"/>
      <color rgb="FF023F62"/>
      <name val="Calibri"/>
      <family val="2"/>
      <charset val="1"/>
    </font>
    <font>
      <b/>
      <i/>
      <sz val="13"/>
      <color rgb="FFFF0000"/>
      <name val="Calibri"/>
      <family val="2"/>
      <charset val="1"/>
    </font>
    <font>
      <sz val="12"/>
      <color rgb="FF000000"/>
      <name val="Calibri1"/>
      <charset val="1"/>
    </font>
    <font>
      <b/>
      <sz val="12"/>
      <color rgb="FFFBF7F7"/>
      <name val="Calibri1"/>
      <charset val="1"/>
    </font>
    <font>
      <sz val="11"/>
      <color rgb="FFFBF7F7"/>
      <name val="Calibri1"/>
      <charset val="1"/>
    </font>
    <font>
      <b/>
      <sz val="13"/>
      <color rgb="FF000000"/>
      <name val="Calibri1"/>
      <charset val="1"/>
    </font>
    <font>
      <b/>
      <sz val="11"/>
      <color rgb="FFFBF7F7"/>
      <name val="Calibri1"/>
      <charset val="1"/>
    </font>
    <font>
      <b/>
      <sz val="11"/>
      <color rgb="FFF1DFD3"/>
      <name val="Calibri1"/>
      <charset val="1"/>
    </font>
    <font>
      <b/>
      <sz val="14"/>
      <color rgb="FF561A2A"/>
      <name val="Calibri1"/>
      <charset val="1"/>
    </font>
    <font>
      <b/>
      <sz val="12"/>
      <color rgb="FF622502"/>
      <name val="Calibri1"/>
      <charset val="1"/>
    </font>
    <font>
      <b/>
      <sz val="13"/>
      <color rgb="FF622502"/>
      <name val="Calibri1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1"/>
      <charset val="1"/>
    </font>
    <font>
      <sz val="11"/>
      <color rgb="FFFF0000"/>
      <name val="Calibri1"/>
      <charset val="1"/>
    </font>
    <font>
      <b/>
      <sz val="11"/>
      <color theme="1"/>
      <name val="Calibri"/>
      <family val="2"/>
      <charset val="1"/>
    </font>
    <font>
      <sz val="10"/>
      <color rgb="FFFF0000"/>
      <name val="Calibri1"/>
      <charset val="1"/>
    </font>
    <font>
      <sz val="11"/>
      <color rgb="FF0070C0"/>
      <name val="Calibri1"/>
      <charset val="1"/>
    </font>
    <font>
      <b/>
      <sz val="12"/>
      <color rgb="FFFF0000"/>
      <name val="Calibri"/>
      <family val="2"/>
      <charset val="1"/>
    </font>
    <font>
      <sz val="10"/>
      <color rgb="FFFF0000"/>
      <name val="Arial"/>
      <charset val="1"/>
    </font>
    <font>
      <sz val="11"/>
      <color rgb="FFFF0000"/>
      <name val="Calibri"/>
      <family val="2"/>
      <charset val="1"/>
    </font>
    <font>
      <sz val="10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200"/>
        <bgColor rgb="FFFDE9A9"/>
      </patternFill>
    </fill>
    <fill>
      <patternFill patternType="solid">
        <fgColor rgb="FFFBE5D6"/>
        <bgColor rgb="FFFFEBCD"/>
      </patternFill>
    </fill>
    <fill>
      <patternFill patternType="solid">
        <fgColor rgb="FFF4B183"/>
        <bgColor rgb="FFF7D1D5"/>
      </patternFill>
    </fill>
    <fill>
      <patternFill patternType="solid">
        <fgColor rgb="FFFFF2CC"/>
        <bgColor rgb="FFFFEBCD"/>
      </patternFill>
    </fill>
    <fill>
      <patternFill patternType="solid">
        <fgColor rgb="FFFFFFFF"/>
        <bgColor rgb="FFFAFAFA"/>
      </patternFill>
    </fill>
    <fill>
      <patternFill patternType="solid">
        <fgColor rgb="FFF3E0BE"/>
        <bgColor rgb="FFF8DEC0"/>
      </patternFill>
    </fill>
    <fill>
      <patternFill patternType="solid">
        <fgColor rgb="FF622502"/>
        <bgColor rgb="FF561A2A"/>
      </patternFill>
    </fill>
    <fill>
      <patternFill patternType="solid">
        <fgColor rgb="FFA33E03"/>
        <bgColor rgb="FF8B4513"/>
      </patternFill>
    </fill>
    <fill>
      <patternFill patternType="solid">
        <fgColor rgb="FFEAE2CF"/>
        <bgColor rgb="FFF1DFD3"/>
      </patternFill>
    </fill>
    <fill>
      <patternFill patternType="solid">
        <fgColor rgb="FFFFDEAD"/>
        <bgColor rgb="FFFBDEAB"/>
      </patternFill>
    </fill>
    <fill>
      <patternFill patternType="solid">
        <fgColor rgb="FF843C0B"/>
        <bgColor rgb="FF813709"/>
      </patternFill>
    </fill>
    <fill>
      <patternFill patternType="solid">
        <fgColor rgb="FF8B4513"/>
        <bgColor rgb="FF843C0B"/>
      </patternFill>
    </fill>
    <fill>
      <patternFill patternType="solid">
        <fgColor rgb="FFFBDEAB"/>
        <bgColor rgb="FFFFDEAD"/>
      </patternFill>
    </fill>
    <fill>
      <patternFill patternType="solid">
        <fgColor rgb="FFFDE9A9"/>
        <bgColor rgb="FFFBDEAB"/>
      </patternFill>
    </fill>
    <fill>
      <patternFill patternType="solid">
        <fgColor rgb="FFFAFAFA"/>
        <bgColor rgb="FFFBF7F7"/>
      </patternFill>
    </fill>
    <fill>
      <patternFill patternType="solid">
        <fgColor rgb="FFFFD7D7"/>
        <bgColor rgb="FFFFD8CE"/>
      </patternFill>
    </fill>
    <fill>
      <patternFill patternType="solid">
        <fgColor rgb="FFF7D1D5"/>
        <bgColor rgb="FFFFD7D7"/>
      </patternFill>
    </fill>
    <fill>
      <patternFill patternType="solid">
        <fgColor rgb="FFFFD8CE"/>
        <bgColor rgb="FFFFD7D7"/>
      </patternFill>
    </fill>
    <fill>
      <patternFill patternType="solid">
        <fgColor rgb="FF023F62"/>
        <bgColor rgb="FF003300"/>
      </patternFill>
    </fill>
    <fill>
      <patternFill patternType="solid">
        <fgColor rgb="FFDBE3F5"/>
        <bgColor rgb="FFEAE2CF"/>
      </patternFill>
    </fill>
    <fill>
      <patternFill patternType="solid">
        <fgColor rgb="FFE3241B"/>
        <bgColor rgb="FFC9211E"/>
      </patternFill>
    </fill>
    <fill>
      <patternFill patternType="solid">
        <fgColor rgb="FFFFDBB6"/>
        <bgColor rgb="FFFFDEAD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hair">
        <color rgb="FF843C0B"/>
      </left>
      <right style="hair">
        <color rgb="FF843C0B"/>
      </right>
      <top style="hair">
        <color rgb="FF843C0B"/>
      </top>
      <bottom style="hair">
        <color rgb="FF843C0B"/>
      </bottom>
      <diagonal/>
    </border>
    <border>
      <left/>
      <right style="hair">
        <color rgb="FF843C0B"/>
      </right>
      <top/>
      <bottom style="hair">
        <color rgb="FF843C0B"/>
      </bottom>
      <diagonal/>
    </border>
    <border>
      <left style="hair">
        <color rgb="FF843C0B"/>
      </left>
      <right/>
      <top/>
      <bottom style="hair">
        <color rgb="FF843C0B"/>
      </bottom>
      <diagonal/>
    </border>
    <border>
      <left/>
      <right/>
      <top/>
      <bottom style="hair">
        <color rgb="FF843C0B"/>
      </bottom>
      <diagonal/>
    </border>
    <border>
      <left/>
      <right style="hair">
        <color rgb="FF843C0B"/>
      </right>
      <top style="hair">
        <color rgb="FF843C0B"/>
      </top>
      <bottom style="hair">
        <color rgb="FF843C0B"/>
      </bottom>
      <diagonal/>
    </border>
    <border>
      <left style="hair">
        <color rgb="FF843C0B"/>
      </left>
      <right/>
      <top style="hair">
        <color rgb="FF843C0B"/>
      </top>
      <bottom/>
      <diagonal/>
    </border>
    <border>
      <left/>
      <right/>
      <top style="hair">
        <color rgb="FF843C0B"/>
      </top>
      <bottom/>
      <diagonal/>
    </border>
    <border>
      <left/>
      <right style="hair">
        <color rgb="FF843C0B"/>
      </right>
      <top style="hair">
        <color rgb="FF843C0B"/>
      </top>
      <bottom/>
      <diagonal/>
    </border>
    <border>
      <left style="hair">
        <color rgb="FF843C0B"/>
      </left>
      <right/>
      <top/>
      <bottom/>
      <diagonal/>
    </border>
    <border>
      <left/>
      <right style="hair">
        <color rgb="FF843C0B"/>
      </right>
      <top/>
      <bottom/>
      <diagonal/>
    </border>
    <border>
      <left style="thin">
        <color rgb="FF843C0B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rgb="FF622502"/>
      </bottom>
      <diagonal/>
    </border>
    <border>
      <left style="hair">
        <color rgb="FF622502"/>
      </left>
      <right/>
      <top style="hair">
        <color rgb="FF622502"/>
      </top>
      <bottom style="hair">
        <color rgb="FF622502"/>
      </bottom>
      <diagonal/>
    </border>
    <border>
      <left/>
      <right/>
      <top style="hair">
        <color rgb="FF622502"/>
      </top>
      <bottom style="hair">
        <color rgb="FF622502"/>
      </bottom>
      <diagonal/>
    </border>
    <border>
      <left/>
      <right style="hair">
        <color rgb="FF622502"/>
      </right>
      <top style="hair">
        <color rgb="FF622502"/>
      </top>
      <bottom style="hair">
        <color rgb="FF622502"/>
      </bottom>
      <diagonal/>
    </border>
    <border>
      <left style="hair">
        <color rgb="FF622502"/>
      </left>
      <right style="hair">
        <color rgb="FF622502"/>
      </right>
      <top style="hair">
        <color rgb="FF622502"/>
      </top>
      <bottom style="hair">
        <color rgb="FF62250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hair">
        <color rgb="FFF8DEC0"/>
      </bottom>
      <diagonal/>
    </border>
    <border>
      <left style="hair">
        <color rgb="FFF8DEC0"/>
      </left>
      <right style="hair">
        <color rgb="FFF8DEC0"/>
      </right>
      <top style="hair">
        <color rgb="FFF8DEC0"/>
      </top>
      <bottom style="hair">
        <color rgb="FFF8DE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1" fillId="0" borderId="0" applyBorder="0" applyProtection="0"/>
    <xf numFmtId="9" fontId="67" fillId="0" borderId="0" applyBorder="0" applyProtection="0"/>
    <xf numFmtId="0" fontId="1" fillId="0" borderId="0" applyBorder="0" applyProtection="0"/>
    <xf numFmtId="0" fontId="1" fillId="0" borderId="0" applyBorder="0" applyProtection="0"/>
    <xf numFmtId="44" fontId="96" fillId="0" borderId="0" applyFont="0" applyFill="0" applyBorder="0" applyAlignment="0" applyProtection="0"/>
  </cellStyleXfs>
  <cellXfs count="421">
    <xf numFmtId="0" fontId="0" fillId="0" borderId="0" xfId="0"/>
    <xf numFmtId="164" fontId="4" fillId="3" borderId="0" xfId="1" applyFont="1" applyFill="1" applyBorder="1" applyAlignment="1" applyProtection="1">
      <alignment horizontal="center" vertical="center" wrapText="1"/>
    </xf>
    <xf numFmtId="0" fontId="1" fillId="0" borderId="0" xfId="0" applyFont="1"/>
    <xf numFmtId="164" fontId="2" fillId="0" borderId="0" xfId="1" applyFont="1" applyBorder="1" applyProtection="1"/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center" vertical="center" wrapText="1"/>
    </xf>
    <xf numFmtId="164" fontId="4" fillId="0" borderId="0" xfId="1" applyFont="1" applyBorder="1" applyAlignment="1" applyProtection="1">
      <alignment horizontal="center" vertical="center" wrapText="1"/>
    </xf>
    <xf numFmtId="164" fontId="4" fillId="3" borderId="0" xfId="1" applyFont="1" applyFill="1" applyBorder="1" applyProtection="1"/>
    <xf numFmtId="164" fontId="4" fillId="4" borderId="0" xfId="1" applyFont="1" applyFill="1" applyBorder="1" applyProtection="1"/>
    <xf numFmtId="164" fontId="4" fillId="0" borderId="0" xfId="1" applyFont="1" applyBorder="1" applyProtection="1"/>
    <xf numFmtId="164" fontId="2" fillId="0" borderId="0" xfId="1" applyFont="1" applyBorder="1" applyAlignment="1" applyProtection="1">
      <alignment wrapText="1"/>
    </xf>
    <xf numFmtId="164" fontId="2" fillId="4" borderId="0" xfId="1" applyFont="1" applyFill="1" applyBorder="1" applyProtection="1"/>
    <xf numFmtId="0" fontId="1" fillId="0" borderId="0" xfId="0" applyFont="1" applyAlignment="1">
      <alignment wrapText="1"/>
    </xf>
    <xf numFmtId="164" fontId="1" fillId="0" borderId="0" xfId="0" applyNumberFormat="1" applyFont="1"/>
    <xf numFmtId="4" fontId="1" fillId="0" borderId="0" xfId="0" applyNumberFormat="1" applyFont="1"/>
    <xf numFmtId="4" fontId="5" fillId="0" borderId="0" xfId="0" applyNumberFormat="1" applyFont="1"/>
    <xf numFmtId="164" fontId="5" fillId="0" borderId="0" xfId="1" applyFont="1" applyBorder="1" applyProtection="1"/>
    <xf numFmtId="164" fontId="6" fillId="0" borderId="0" xfId="1" applyFont="1" applyBorder="1" applyProtection="1"/>
    <xf numFmtId="164" fontId="2" fillId="0" borderId="0" xfId="1" applyFont="1" applyBorder="1" applyAlignment="1" applyProtection="1">
      <alignment horizontal="right"/>
    </xf>
    <xf numFmtId="0" fontId="2" fillId="4" borderId="0" xfId="0" applyFont="1" applyFill="1"/>
    <xf numFmtId="164" fontId="2" fillId="0" borderId="0" xfId="1" applyFont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4" fillId="3" borderId="3" xfId="1" applyFont="1" applyFill="1" applyBorder="1" applyProtection="1"/>
    <xf numFmtId="164" fontId="4" fillId="3" borderId="4" xfId="1" applyFont="1" applyFill="1" applyBorder="1" applyProtection="1"/>
    <xf numFmtId="164" fontId="4" fillId="3" borderId="5" xfId="1" applyFont="1" applyFill="1" applyBorder="1" applyProtection="1"/>
    <xf numFmtId="164" fontId="4" fillId="3" borderId="2" xfId="1" applyFont="1" applyFill="1" applyBorder="1" applyProtection="1"/>
    <xf numFmtId="164" fontId="4" fillId="4" borderId="2" xfId="1" applyFont="1" applyFill="1" applyBorder="1" applyProtection="1"/>
    <xf numFmtId="164" fontId="2" fillId="0" borderId="4" xfId="1" applyFont="1" applyBorder="1" applyProtection="1"/>
    <xf numFmtId="164" fontId="2" fillId="0" borderId="6" xfId="1" applyFont="1" applyBorder="1" applyProtection="1"/>
    <xf numFmtId="164" fontId="2" fillId="0" borderId="7" xfId="1" applyFont="1" applyBorder="1" applyProtection="1"/>
    <xf numFmtId="164" fontId="2" fillId="3" borderId="8" xfId="1" applyFont="1" applyFill="1" applyBorder="1" applyProtection="1"/>
    <xf numFmtId="164" fontId="2" fillId="4" borderId="7" xfId="1" applyFont="1" applyFill="1" applyBorder="1" applyProtection="1"/>
    <xf numFmtId="164" fontId="2" fillId="4" borderId="8" xfId="1" applyFont="1" applyFill="1" applyBorder="1" applyProtection="1"/>
    <xf numFmtId="164" fontId="2" fillId="0" borderId="9" xfId="1" applyFont="1" applyBorder="1" applyProtection="1"/>
    <xf numFmtId="164" fontId="2" fillId="4" borderId="10" xfId="1" applyFont="1" applyFill="1" applyBorder="1" applyProtection="1"/>
    <xf numFmtId="10" fontId="2" fillId="0" borderId="0" xfId="1" applyNumberFormat="1" applyFont="1" applyBorder="1" applyProtection="1"/>
    <xf numFmtId="164" fontId="2" fillId="3" borderId="10" xfId="1" applyFont="1" applyFill="1" applyBorder="1" applyProtection="1"/>
    <xf numFmtId="4" fontId="5" fillId="0" borderId="11" xfId="0" applyNumberFormat="1" applyFont="1" applyBorder="1"/>
    <xf numFmtId="0" fontId="2" fillId="0" borderId="4" xfId="0" applyFont="1" applyBorder="1"/>
    <xf numFmtId="164" fontId="2" fillId="0" borderId="3" xfId="1" applyFont="1" applyBorder="1" applyProtection="1"/>
    <xf numFmtId="164" fontId="2" fillId="3" borderId="2" xfId="1" applyFont="1" applyFill="1" applyBorder="1" applyProtection="1"/>
    <xf numFmtId="164" fontId="2" fillId="4" borderId="4" xfId="1" applyFont="1" applyFill="1" applyBorder="1" applyProtection="1"/>
    <xf numFmtId="164" fontId="2" fillId="4" borderId="2" xfId="1" applyFont="1" applyFill="1" applyBorder="1" applyProtection="1"/>
    <xf numFmtId="164" fontId="2" fillId="4" borderId="3" xfId="1" applyFont="1" applyFill="1" applyBorder="1" applyProtection="1"/>
    <xf numFmtId="164" fontId="2" fillId="4" borderId="9" xfId="1" applyFont="1" applyFill="1" applyBorder="1" applyProtection="1"/>
    <xf numFmtId="0" fontId="1" fillId="5" borderId="0" xfId="0" applyFont="1" applyFill="1" applyAlignment="1">
      <alignment horizontal="center" vertical="center" wrapText="1"/>
    </xf>
    <xf numFmtId="0" fontId="2" fillId="5" borderId="12" xfId="0" applyFont="1" applyFill="1" applyBorder="1"/>
    <xf numFmtId="164" fontId="4" fillId="5" borderId="12" xfId="1" applyFont="1" applyFill="1" applyBorder="1" applyProtection="1"/>
    <xf numFmtId="164" fontId="4" fillId="3" borderId="12" xfId="1" applyFont="1" applyFill="1" applyBorder="1" applyProtection="1"/>
    <xf numFmtId="0" fontId="2" fillId="0" borderId="12" xfId="0" applyFont="1" applyBorder="1"/>
    <xf numFmtId="164" fontId="2" fillId="0" borderId="12" xfId="1" applyFont="1" applyBorder="1" applyProtection="1"/>
    <xf numFmtId="164" fontId="2" fillId="3" borderId="12" xfId="1" applyFont="1" applyFill="1" applyBorder="1" applyProtection="1"/>
    <xf numFmtId="4" fontId="5" fillId="0" borderId="13" xfId="0" applyNumberFormat="1" applyFont="1" applyBorder="1"/>
    <xf numFmtId="0" fontId="2" fillId="4" borderId="12" xfId="0" applyFont="1" applyFill="1" applyBorder="1"/>
    <xf numFmtId="164" fontId="2" fillId="4" borderId="12" xfId="1" applyFont="1" applyFill="1" applyBorder="1" applyProtection="1"/>
    <xf numFmtId="0" fontId="3" fillId="0" borderId="0" xfId="0" applyFont="1"/>
    <xf numFmtId="164" fontId="2" fillId="6" borderId="0" xfId="1" applyFont="1" applyFill="1" applyBorder="1" applyProtection="1"/>
    <xf numFmtId="164" fontId="2" fillId="0" borderId="0" xfId="1" applyFont="1" applyBorder="1" applyAlignment="1" applyProtection="1">
      <alignment horizontal="center"/>
    </xf>
    <xf numFmtId="164" fontId="2" fillId="3" borderId="0" xfId="1" applyFont="1" applyFill="1" applyBorder="1" applyProtection="1"/>
    <xf numFmtId="164" fontId="4" fillId="0" borderId="0" xfId="1" applyFont="1" applyBorder="1" applyAlignment="1" applyProtection="1">
      <alignment vertical="center" wrapText="1"/>
    </xf>
    <xf numFmtId="49" fontId="4" fillId="3" borderId="12" xfId="1" applyNumberFormat="1" applyFont="1" applyFill="1" applyBorder="1" applyAlignment="1" applyProtection="1">
      <alignment horizontal="center" vertical="center" wrapText="1"/>
    </xf>
    <xf numFmtId="164" fontId="4" fillId="4" borderId="12" xfId="1" applyFont="1" applyFill="1" applyBorder="1" applyProtection="1"/>
    <xf numFmtId="0" fontId="8" fillId="0" borderId="15" xfId="0" applyFont="1" applyBorder="1" applyAlignment="1">
      <alignment horizontal="center"/>
    </xf>
    <xf numFmtId="165" fontId="1" fillId="0" borderId="12" xfId="0" applyNumberFormat="1" applyFont="1" applyBorder="1"/>
    <xf numFmtId="164" fontId="2" fillId="2" borderId="12" xfId="1" applyFont="1" applyFill="1" applyBorder="1" applyProtection="1"/>
    <xf numFmtId="164" fontId="4" fillId="0" borderId="16" xfId="1" applyFont="1" applyBorder="1" applyAlignment="1" applyProtection="1">
      <alignment horizontal="center" vertical="center" wrapText="1"/>
    </xf>
    <xf numFmtId="164" fontId="4" fillId="0" borderId="16" xfId="1" applyFont="1" applyBorder="1" applyProtection="1"/>
    <xf numFmtId="164" fontId="2" fillId="0" borderId="16" xfId="1" applyFont="1" applyBorder="1" applyProtection="1"/>
    <xf numFmtId="164" fontId="9" fillId="0" borderId="0" xfId="1" applyFont="1" applyBorder="1" applyProtection="1"/>
    <xf numFmtId="3" fontId="9" fillId="0" borderId="0" xfId="1" applyNumberFormat="1" applyFont="1" applyBorder="1" applyAlignment="1" applyProtection="1">
      <alignment horizontal="center"/>
    </xf>
    <xf numFmtId="0" fontId="1" fillId="7" borderId="0" xfId="0" applyFont="1" applyFill="1"/>
    <xf numFmtId="0" fontId="12" fillId="7" borderId="0" xfId="0" applyFont="1" applyFill="1" applyAlignment="1">
      <alignment horizontal="center" vertical="center"/>
    </xf>
    <xf numFmtId="4" fontId="12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6" fontId="13" fillId="8" borderId="18" xfId="0" applyNumberFormat="1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4" fontId="13" fillId="8" borderId="20" xfId="0" applyNumberFormat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7" fillId="10" borderId="18" xfId="0" applyFont="1" applyFill="1" applyBorder="1"/>
    <xf numFmtId="164" fontId="18" fillId="10" borderId="19" xfId="0" applyNumberFormat="1" applyFont="1" applyFill="1" applyBorder="1"/>
    <xf numFmtId="164" fontId="19" fillId="10" borderId="19" xfId="0" applyNumberFormat="1" applyFont="1" applyFill="1" applyBorder="1"/>
    <xf numFmtId="164" fontId="17" fillId="10" borderId="19" xfId="0" applyNumberFormat="1" applyFont="1" applyFill="1" applyBorder="1"/>
    <xf numFmtId="164" fontId="20" fillId="10" borderId="19" xfId="0" applyNumberFormat="1" applyFont="1" applyFill="1" applyBorder="1"/>
    <xf numFmtId="164" fontId="21" fillId="10" borderId="19" xfId="0" applyNumberFormat="1" applyFont="1" applyFill="1" applyBorder="1"/>
    <xf numFmtId="164" fontId="22" fillId="10" borderId="19" xfId="0" applyNumberFormat="1" applyFont="1" applyFill="1" applyBorder="1"/>
    <xf numFmtId="164" fontId="17" fillId="10" borderId="20" xfId="0" applyNumberFormat="1" applyFont="1" applyFill="1" applyBorder="1"/>
    <xf numFmtId="10" fontId="17" fillId="10" borderId="20" xfId="0" applyNumberFormat="1" applyFont="1" applyFill="1" applyBorder="1" applyAlignment="1">
      <alignment horizontal="center"/>
    </xf>
    <xf numFmtId="4" fontId="23" fillId="0" borderId="0" xfId="0" applyNumberFormat="1" applyFont="1"/>
    <xf numFmtId="164" fontId="17" fillId="2" borderId="19" xfId="0" applyNumberFormat="1" applyFont="1" applyFill="1" applyBorder="1"/>
    <xf numFmtId="0" fontId="17" fillId="0" borderId="18" xfId="0" applyFont="1" applyBorder="1"/>
    <xf numFmtId="164" fontId="18" fillId="0" borderId="19" xfId="0" applyNumberFormat="1" applyFont="1" applyBorder="1"/>
    <xf numFmtId="164" fontId="19" fillId="0" borderId="19" xfId="0" applyNumberFormat="1" applyFont="1" applyBorder="1"/>
    <xf numFmtId="164" fontId="17" fillId="0" borderId="19" xfId="0" applyNumberFormat="1" applyFont="1" applyBorder="1"/>
    <xf numFmtId="164" fontId="20" fillId="0" borderId="19" xfId="0" applyNumberFormat="1" applyFont="1" applyBorder="1"/>
    <xf numFmtId="164" fontId="21" fillId="0" borderId="19" xfId="0" applyNumberFormat="1" applyFont="1" applyBorder="1"/>
    <xf numFmtId="164" fontId="22" fillId="0" borderId="19" xfId="0" applyNumberFormat="1" applyFont="1" applyBorder="1"/>
    <xf numFmtId="164" fontId="17" fillId="0" borderId="20" xfId="0" applyNumberFormat="1" applyFont="1" applyBorder="1"/>
    <xf numFmtId="10" fontId="17" fillId="0" borderId="20" xfId="0" applyNumberFormat="1" applyFont="1" applyBorder="1" applyAlignment="1">
      <alignment horizontal="center"/>
    </xf>
    <xf numFmtId="164" fontId="24" fillId="10" borderId="19" xfId="0" applyNumberFormat="1" applyFont="1" applyFill="1" applyBorder="1"/>
    <xf numFmtId="4" fontId="17" fillId="10" borderId="20" xfId="0" applyNumberFormat="1" applyFont="1" applyFill="1" applyBorder="1" applyAlignment="1">
      <alignment horizontal="center"/>
    </xf>
    <xf numFmtId="164" fontId="25" fillId="0" borderId="19" xfId="0" applyNumberFormat="1" applyFont="1" applyBorder="1"/>
    <xf numFmtId="164" fontId="24" fillId="0" borderId="19" xfId="0" applyNumberFormat="1" applyFont="1" applyBorder="1"/>
    <xf numFmtId="4" fontId="17" fillId="0" borderId="20" xfId="0" applyNumberFormat="1" applyFont="1" applyBorder="1" applyAlignment="1">
      <alignment horizontal="center"/>
    </xf>
    <xf numFmtId="164" fontId="19" fillId="2" borderId="19" xfId="0" applyNumberFormat="1" applyFont="1" applyFill="1" applyBorder="1"/>
    <xf numFmtId="164" fontId="26" fillId="10" borderId="19" xfId="0" applyNumberFormat="1" applyFont="1" applyFill="1" applyBorder="1"/>
    <xf numFmtId="164" fontId="25" fillId="10" borderId="19" xfId="0" applyNumberFormat="1" applyFont="1" applyFill="1" applyBorder="1"/>
    <xf numFmtId="164" fontId="27" fillId="0" borderId="19" xfId="0" applyNumberFormat="1" applyFont="1" applyBorder="1"/>
    <xf numFmtId="0" fontId="2" fillId="0" borderId="0" xfId="0" applyFont="1" applyAlignment="1">
      <alignment wrapText="1"/>
    </xf>
    <xf numFmtId="164" fontId="2" fillId="10" borderId="19" xfId="0" applyNumberFormat="1" applyFont="1" applyFill="1" applyBorder="1"/>
    <xf numFmtId="164" fontId="28" fillId="10" borderId="19" xfId="0" applyNumberFormat="1" applyFont="1" applyFill="1" applyBorder="1"/>
    <xf numFmtId="164" fontId="2" fillId="0" borderId="19" xfId="0" applyNumberFormat="1" applyFont="1" applyBorder="1"/>
    <xf numFmtId="164" fontId="28" fillId="0" borderId="19" xfId="0" applyNumberFormat="1" applyFont="1" applyBorder="1"/>
    <xf numFmtId="164" fontId="4" fillId="10" borderId="19" xfId="0" applyNumberFormat="1" applyFont="1" applyFill="1" applyBorder="1"/>
    <xf numFmtId="164" fontId="29" fillId="11" borderId="19" xfId="0" applyNumberFormat="1" applyFont="1" applyFill="1" applyBorder="1"/>
    <xf numFmtId="164" fontId="29" fillId="11" borderId="20" xfId="0" applyNumberFormat="1" applyFont="1" applyFill="1" applyBorder="1"/>
    <xf numFmtId="10" fontId="29" fillId="11" borderId="20" xfId="0" applyNumberFormat="1" applyFont="1" applyFill="1" applyBorder="1" applyAlignment="1">
      <alignment horizontal="center"/>
    </xf>
    <xf numFmtId="4" fontId="29" fillId="11" borderId="20" xfId="0" applyNumberFormat="1" applyFont="1" applyFill="1" applyBorder="1" applyAlignment="1">
      <alignment horizontal="center"/>
    </xf>
    <xf numFmtId="164" fontId="17" fillId="11" borderId="0" xfId="0" applyNumberFormat="1" applyFont="1" applyFill="1"/>
    <xf numFmtId="0" fontId="4" fillId="0" borderId="0" xfId="0" applyFont="1"/>
    <xf numFmtId="4" fontId="30" fillId="9" borderId="0" xfId="0" applyNumberFormat="1" applyFont="1" applyFill="1" applyAlignment="1">
      <alignment horizontal="center" vertical="center"/>
    </xf>
    <xf numFmtId="164" fontId="26" fillId="10" borderId="19" xfId="1" applyFont="1" applyFill="1" applyBorder="1" applyProtection="1"/>
    <xf numFmtId="164" fontId="17" fillId="10" borderId="19" xfId="1" applyFont="1" applyFill="1" applyBorder="1" applyProtection="1"/>
    <xf numFmtId="4" fontId="19" fillId="10" borderId="19" xfId="0" applyNumberFormat="1" applyFont="1" applyFill="1" applyBorder="1"/>
    <xf numFmtId="4" fontId="20" fillId="10" borderId="19" xfId="0" applyNumberFormat="1" applyFont="1" applyFill="1" applyBorder="1"/>
    <xf numFmtId="4" fontId="31" fillId="10" borderId="19" xfId="0" applyNumberFormat="1" applyFont="1" applyFill="1" applyBorder="1"/>
    <xf numFmtId="4" fontId="22" fillId="10" borderId="19" xfId="0" applyNumberFormat="1" applyFont="1" applyFill="1" applyBorder="1"/>
    <xf numFmtId="4" fontId="17" fillId="10" borderId="19" xfId="0" applyNumberFormat="1" applyFont="1" applyFill="1" applyBorder="1"/>
    <xf numFmtId="4" fontId="17" fillId="2" borderId="19" xfId="0" applyNumberFormat="1" applyFont="1" applyFill="1" applyBorder="1"/>
    <xf numFmtId="164" fontId="26" fillId="0" borderId="19" xfId="1" applyFont="1" applyBorder="1" applyProtection="1"/>
    <xf numFmtId="164" fontId="17" fillId="0" borderId="19" xfId="1" applyFont="1" applyBorder="1" applyProtection="1"/>
    <xf numFmtId="4" fontId="19" fillId="0" borderId="19" xfId="0" applyNumberFormat="1" applyFont="1" applyBorder="1"/>
    <xf numFmtId="4" fontId="20" fillId="0" borderId="19" xfId="0" applyNumberFormat="1" applyFont="1" applyBorder="1"/>
    <xf numFmtId="4" fontId="31" fillId="0" borderId="19" xfId="0" applyNumberFormat="1" applyFont="1" applyBorder="1"/>
    <xf numFmtId="4" fontId="32" fillId="0" borderId="19" xfId="0" applyNumberFormat="1" applyFont="1" applyBorder="1"/>
    <xf numFmtId="4" fontId="17" fillId="0" borderId="19" xfId="0" applyNumberFormat="1" applyFont="1" applyBorder="1"/>
    <xf numFmtId="164" fontId="19" fillId="10" borderId="19" xfId="1" applyFont="1" applyFill="1" applyBorder="1" applyProtection="1"/>
    <xf numFmtId="4" fontId="33" fillId="10" borderId="19" xfId="0" applyNumberFormat="1" applyFont="1" applyFill="1" applyBorder="1"/>
    <xf numFmtId="164" fontId="26" fillId="0" borderId="0" xfId="1" applyFont="1" applyBorder="1" applyAlignment="1" applyProtection="1">
      <alignment wrapText="1"/>
    </xf>
    <xf numFmtId="164" fontId="19" fillId="0" borderId="19" xfId="1" applyFont="1" applyBorder="1" applyProtection="1"/>
    <xf numFmtId="4" fontId="33" fillId="0" borderId="19" xfId="0" applyNumberFormat="1" applyFont="1" applyBorder="1"/>
    <xf numFmtId="0" fontId="29" fillId="11" borderId="0" xfId="0" applyFont="1" applyFill="1"/>
    <xf numFmtId="164" fontId="29" fillId="11" borderId="0" xfId="1" applyFont="1" applyFill="1" applyBorder="1" applyProtection="1"/>
    <xf numFmtId="164" fontId="29" fillId="11" borderId="0" xfId="0" applyNumberFormat="1" applyFont="1" applyFill="1"/>
    <xf numFmtId="10" fontId="29" fillId="11" borderId="0" xfId="0" applyNumberFormat="1" applyFont="1" applyFill="1" applyAlignment="1">
      <alignment horizontal="center"/>
    </xf>
    <xf numFmtId="4" fontId="29" fillId="11" borderId="0" xfId="0" applyNumberFormat="1" applyFont="1" applyFill="1" applyAlignment="1">
      <alignment horizontal="center"/>
    </xf>
    <xf numFmtId="4" fontId="34" fillId="9" borderId="0" xfId="0" applyNumberFormat="1" applyFont="1" applyFill="1" applyAlignment="1">
      <alignment horizontal="center" vertical="center"/>
    </xf>
    <xf numFmtId="0" fontId="35" fillId="3" borderId="0" xfId="0" applyFont="1" applyFill="1"/>
    <xf numFmtId="164" fontId="35" fillId="3" borderId="0" xfId="1" applyFont="1" applyFill="1" applyBorder="1" applyProtection="1"/>
    <xf numFmtId="164" fontId="35" fillId="3" borderId="0" xfId="0" applyNumberFormat="1" applyFont="1" applyFill="1"/>
    <xf numFmtId="10" fontId="35" fillId="3" borderId="0" xfId="0" applyNumberFormat="1" applyFont="1" applyFill="1" applyAlignment="1">
      <alignment horizontal="center"/>
    </xf>
    <xf numFmtId="4" fontId="35" fillId="3" borderId="0" xfId="0" applyNumberFormat="1" applyFont="1" applyFill="1" applyAlignment="1">
      <alignment horizontal="center"/>
    </xf>
    <xf numFmtId="164" fontId="19" fillId="3" borderId="0" xfId="0" applyNumberFormat="1" applyFont="1" applyFill="1"/>
    <xf numFmtId="167" fontId="1" fillId="0" borderId="0" xfId="0" applyNumberFormat="1" applyFont="1"/>
    <xf numFmtId="2" fontId="1" fillId="0" borderId="0" xfId="0" applyNumberFormat="1" applyFont="1"/>
    <xf numFmtId="0" fontId="36" fillId="12" borderId="0" xfId="0" applyFont="1" applyFill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justify" vertical="center" wrapText="1"/>
    </xf>
    <xf numFmtId="4" fontId="38" fillId="0" borderId="0" xfId="0" applyNumberFormat="1" applyFont="1" applyAlignment="1">
      <alignment horizontal="center" vertical="center" wrapText="1"/>
    </xf>
    <xf numFmtId="10" fontId="38" fillId="0" borderId="0" xfId="0" applyNumberFormat="1" applyFont="1" applyAlignment="1">
      <alignment horizontal="center" vertical="center" wrapText="1"/>
    </xf>
    <xf numFmtId="10" fontId="1" fillId="0" borderId="0" xfId="0" applyNumberFormat="1" applyFont="1"/>
    <xf numFmtId="0" fontId="36" fillId="13" borderId="0" xfId="0" applyFont="1" applyFill="1" applyAlignment="1">
      <alignment horizontal="center" vertical="center" wrapText="1"/>
    </xf>
    <xf numFmtId="4" fontId="36" fillId="13" borderId="0" xfId="0" applyNumberFormat="1" applyFont="1" applyFill="1" applyAlignment="1">
      <alignment horizontal="center" vertical="center" wrapText="1"/>
    </xf>
    <xf numFmtId="10" fontId="36" fillId="13" borderId="0" xfId="0" applyNumberFormat="1" applyFont="1" applyFill="1" applyAlignment="1">
      <alignment horizontal="center" vertical="center" wrapText="1"/>
    </xf>
    <xf numFmtId="0" fontId="19" fillId="0" borderId="0" xfId="0" applyFont="1"/>
    <xf numFmtId="0" fontId="38" fillId="0" borderId="0" xfId="0" applyFont="1" applyAlignment="1">
      <alignment horizontal="justify" vertical="center" wrapText="1"/>
    </xf>
    <xf numFmtId="0" fontId="40" fillId="12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justify" vertical="center" wrapText="1"/>
    </xf>
    <xf numFmtId="4" fontId="41" fillId="0" borderId="0" xfId="0" applyNumberFormat="1" applyFont="1" applyAlignment="1">
      <alignment horizontal="center" vertical="center" wrapText="1"/>
    </xf>
    <xf numFmtId="10" fontId="39" fillId="0" borderId="0" xfId="0" applyNumberFormat="1" applyFont="1" applyAlignment="1">
      <alignment horizontal="center"/>
    </xf>
    <xf numFmtId="0" fontId="41" fillId="14" borderId="0" xfId="0" applyFont="1" applyFill="1" applyAlignment="1">
      <alignment horizontal="justify" vertical="center" wrapText="1"/>
    </xf>
    <xf numFmtId="4" fontId="41" fillId="14" borderId="0" xfId="0" applyNumberFormat="1" applyFont="1" applyFill="1" applyAlignment="1">
      <alignment horizontal="center" vertical="center" wrapText="1"/>
    </xf>
    <xf numFmtId="10" fontId="39" fillId="14" borderId="0" xfId="0" applyNumberFormat="1" applyFont="1" applyFill="1" applyAlignment="1">
      <alignment horizontal="center"/>
    </xf>
    <xf numFmtId="0" fontId="40" fillId="13" borderId="0" xfId="0" applyFont="1" applyFill="1" applyAlignment="1">
      <alignment horizontal="center" vertical="center" wrapText="1"/>
    </xf>
    <xf numFmtId="4" fontId="40" fillId="13" borderId="0" xfId="0" applyNumberFormat="1" applyFont="1" applyFill="1" applyAlignment="1">
      <alignment horizontal="center" vertical="center" wrapText="1"/>
    </xf>
    <xf numFmtId="10" fontId="40" fillId="13" borderId="0" xfId="0" applyNumberFormat="1" applyFont="1" applyFill="1" applyAlignment="1">
      <alignment horizontal="center" vertical="center" wrapText="1"/>
    </xf>
    <xf numFmtId="0" fontId="42" fillId="15" borderId="22" xfId="0" applyFont="1" applyFill="1" applyBorder="1" applyAlignment="1">
      <alignment horizontal="center" vertical="center" wrapText="1"/>
    </xf>
    <xf numFmtId="0" fontId="42" fillId="15" borderId="23" xfId="0" applyFont="1" applyFill="1" applyBorder="1" applyAlignment="1">
      <alignment wrapText="1"/>
    </xf>
    <xf numFmtId="49" fontId="32" fillId="15" borderId="23" xfId="0" applyNumberFormat="1" applyFont="1" applyFill="1" applyBorder="1" applyAlignment="1">
      <alignment horizontal="center" vertical="center" wrapText="1"/>
    </xf>
    <xf numFmtId="4" fontId="32" fillId="15" borderId="23" xfId="0" applyNumberFormat="1" applyFont="1" applyFill="1" applyBorder="1" applyAlignment="1">
      <alignment horizontal="center" vertical="center" wrapText="1"/>
    </xf>
    <xf numFmtId="4" fontId="43" fillId="15" borderId="23" xfId="0" applyNumberFormat="1" applyFont="1" applyFill="1" applyBorder="1" applyAlignment="1">
      <alignment horizontal="center"/>
    </xf>
    <xf numFmtId="4" fontId="43" fillId="15" borderId="24" xfId="0" applyNumberFormat="1" applyFont="1" applyFill="1" applyBorder="1" applyAlignment="1">
      <alignment horizontal="center"/>
    </xf>
    <xf numFmtId="0" fontId="42" fillId="0" borderId="16" xfId="0" applyFont="1" applyBorder="1" applyAlignment="1">
      <alignment horizontal="center" vertical="center" wrapText="1"/>
    </xf>
    <xf numFmtId="0" fontId="42" fillId="0" borderId="0" xfId="0" applyFont="1" applyAlignment="1">
      <alignment wrapText="1"/>
    </xf>
    <xf numFmtId="49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4" fontId="43" fillId="0" borderId="0" xfId="0" applyNumberFormat="1" applyFont="1" applyAlignment="1">
      <alignment horizontal="center"/>
    </xf>
    <xf numFmtId="4" fontId="43" fillId="0" borderId="25" xfId="0" applyNumberFormat="1" applyFont="1" applyBorder="1" applyAlignment="1">
      <alignment horizontal="center"/>
    </xf>
    <xf numFmtId="0" fontId="42" fillId="0" borderId="26" xfId="0" applyFont="1" applyBorder="1" applyAlignment="1">
      <alignment horizontal="center" vertical="center" wrapText="1"/>
    </xf>
    <xf numFmtId="0" fontId="42" fillId="0" borderId="14" xfId="0" applyFont="1" applyBorder="1" applyAlignment="1">
      <alignment wrapText="1"/>
    </xf>
    <xf numFmtId="49" fontId="32" fillId="0" borderId="14" xfId="0" applyNumberFormat="1" applyFont="1" applyBorder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 wrapText="1"/>
    </xf>
    <xf numFmtId="4" fontId="43" fillId="0" borderId="14" xfId="0" applyNumberFormat="1" applyFont="1" applyBorder="1" applyAlignment="1">
      <alignment horizontal="center"/>
    </xf>
    <xf numFmtId="4" fontId="43" fillId="0" borderId="27" xfId="0" applyNumberFormat="1" applyFont="1" applyBorder="1" applyAlignment="1">
      <alignment horizontal="center"/>
    </xf>
    <xf numFmtId="0" fontId="32" fillId="15" borderId="15" xfId="0" applyFont="1" applyFill="1" applyBorder="1" applyAlignment="1">
      <alignment horizontal="center" vertical="center" wrapText="1"/>
    </xf>
    <xf numFmtId="0" fontId="32" fillId="15" borderId="28" xfId="0" applyFont="1" applyFill="1" applyBorder="1" applyAlignment="1">
      <alignment horizontal="justify" vertical="center" wrapText="1"/>
    </xf>
    <xf numFmtId="49" fontId="32" fillId="15" borderId="28" xfId="0" applyNumberFormat="1" applyFont="1" applyFill="1" applyBorder="1" applyAlignment="1">
      <alignment horizontal="center" vertical="center" wrapText="1"/>
    </xf>
    <xf numFmtId="4" fontId="32" fillId="15" borderId="28" xfId="0" applyNumberFormat="1" applyFont="1" applyFill="1" applyBorder="1" applyAlignment="1">
      <alignment horizontal="center" vertical="center" wrapText="1"/>
    </xf>
    <xf numFmtId="4" fontId="43" fillId="15" borderId="28" xfId="0" applyNumberFormat="1" applyFont="1" applyFill="1" applyBorder="1" applyAlignment="1">
      <alignment horizontal="center"/>
    </xf>
    <xf numFmtId="4" fontId="43" fillId="15" borderId="29" xfId="0" applyNumberFormat="1" applyFont="1" applyFill="1" applyBorder="1" applyAlignment="1">
      <alignment horizontal="center"/>
    </xf>
    <xf numFmtId="0" fontId="32" fillId="15" borderId="22" xfId="0" applyFont="1" applyFill="1" applyBorder="1" applyAlignment="1">
      <alignment horizontal="center" vertical="center" wrapText="1"/>
    </xf>
    <xf numFmtId="0" fontId="32" fillId="15" borderId="23" xfId="0" applyFont="1" applyFill="1" applyBorder="1" applyAlignment="1">
      <alignment horizontal="justify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0" xfId="0" applyFont="1" applyAlignment="1">
      <alignment horizontal="justify" vertical="center" wrapText="1"/>
    </xf>
    <xf numFmtId="0" fontId="33" fillId="0" borderId="0" xfId="0" applyFont="1" applyAlignment="1">
      <alignment horizontal="justify" vertical="center" wrapText="1"/>
    </xf>
    <xf numFmtId="49" fontId="33" fillId="0" borderId="0" xfId="0" applyNumberFormat="1" applyFont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4" fontId="42" fillId="0" borderId="0" xfId="0" applyNumberFormat="1" applyFont="1" applyAlignment="1">
      <alignment horizontal="center"/>
    </xf>
    <xf numFmtId="0" fontId="32" fillId="0" borderId="26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justify" vertical="center" wrapText="1"/>
    </xf>
    <xf numFmtId="0" fontId="33" fillId="0" borderId="14" xfId="0" applyFont="1" applyBorder="1" applyAlignment="1">
      <alignment horizontal="justify" vertical="center" wrapText="1"/>
    </xf>
    <xf numFmtId="49" fontId="33" fillId="0" borderId="14" xfId="0" applyNumberFormat="1" applyFont="1" applyBorder="1" applyAlignment="1">
      <alignment horizontal="center" vertical="center" wrapText="1"/>
    </xf>
    <xf numFmtId="4" fontId="33" fillId="0" borderId="14" xfId="0" applyNumberFormat="1" applyFont="1" applyBorder="1" applyAlignment="1">
      <alignment horizontal="center" vertical="center" wrapText="1"/>
    </xf>
    <xf numFmtId="4" fontId="42" fillId="0" borderId="14" xfId="0" applyNumberFormat="1" applyFont="1" applyBorder="1" applyAlignment="1">
      <alignment horizontal="center"/>
    </xf>
    <xf numFmtId="0" fontId="43" fillId="0" borderId="0" xfId="0" applyFont="1"/>
    <xf numFmtId="0" fontId="44" fillId="1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5" fillId="6" borderId="12" xfId="0" applyFont="1" applyFill="1" applyBorder="1" applyAlignment="1">
      <alignment horizontal="left" vertical="top" wrapText="1"/>
    </xf>
    <xf numFmtId="0" fontId="45" fillId="6" borderId="12" xfId="0" applyFont="1" applyFill="1" applyBorder="1" applyAlignment="1">
      <alignment horizontal="center" vertical="center" wrapText="1"/>
    </xf>
    <xf numFmtId="4" fontId="47" fillId="6" borderId="12" xfId="0" applyNumberFormat="1" applyFont="1" applyFill="1" applyBorder="1" applyAlignment="1">
      <alignment horizontal="right" vertical="top" wrapText="1"/>
    </xf>
    <xf numFmtId="4" fontId="45" fillId="6" borderId="12" xfId="0" applyNumberFormat="1" applyFont="1" applyFill="1" applyBorder="1" applyAlignment="1">
      <alignment horizontal="right" vertical="top" wrapText="1"/>
    </xf>
    <xf numFmtId="40" fontId="47" fillId="6" borderId="12" xfId="0" applyNumberFormat="1" applyFont="1" applyFill="1" applyBorder="1" applyAlignment="1">
      <alignment horizontal="right" vertical="top" wrapText="1"/>
    </xf>
    <xf numFmtId="0" fontId="0" fillId="16" borderId="0" xfId="0" applyFill="1"/>
    <xf numFmtId="0" fontId="49" fillId="6" borderId="30" xfId="0" applyFont="1" applyFill="1" applyBorder="1" applyAlignment="1">
      <alignment horizontal="left" vertical="top" wrapText="1"/>
    </xf>
    <xf numFmtId="0" fontId="49" fillId="6" borderId="30" xfId="0" applyFont="1" applyFill="1" applyBorder="1" applyAlignment="1">
      <alignment horizontal="center" vertical="center" wrapText="1"/>
    </xf>
    <xf numFmtId="4" fontId="49" fillId="6" borderId="30" xfId="0" applyNumberFormat="1" applyFont="1" applyFill="1" applyBorder="1" applyAlignment="1">
      <alignment horizontal="right" vertical="top" wrapText="1"/>
    </xf>
    <xf numFmtId="0" fontId="49" fillId="6" borderId="30" xfId="0" applyFont="1" applyFill="1" applyBorder="1" applyAlignment="1">
      <alignment horizontal="right" vertical="top" wrapText="1"/>
    </xf>
    <xf numFmtId="0" fontId="1" fillId="6" borderId="0" xfId="0" applyFont="1" applyFill="1"/>
    <xf numFmtId="0" fontId="4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 wrapText="1"/>
    </xf>
    <xf numFmtId="166" fontId="7" fillId="17" borderId="18" xfId="0" applyNumberFormat="1" applyFont="1" applyFill="1" applyBorder="1" applyAlignment="1">
      <alignment horizontal="center" vertical="center" wrapText="1"/>
    </xf>
    <xf numFmtId="0" fontId="7" fillId="17" borderId="19" xfId="0" applyFont="1" applyFill="1" applyBorder="1" applyAlignment="1">
      <alignment horizontal="center" vertical="center" wrapText="1"/>
    </xf>
    <xf numFmtId="0" fontId="7" fillId="18" borderId="19" xfId="0" applyFont="1" applyFill="1" applyBorder="1" applyAlignment="1">
      <alignment horizontal="center" vertical="center" wrapText="1"/>
    </xf>
    <xf numFmtId="0" fontId="7" fillId="17" borderId="20" xfId="0" applyFont="1" applyFill="1" applyBorder="1" applyAlignment="1">
      <alignment horizontal="center" vertical="center" wrapText="1"/>
    </xf>
    <xf numFmtId="0" fontId="4" fillId="6" borderId="13" xfId="0" applyFont="1" applyFill="1" applyBorder="1"/>
    <xf numFmtId="164" fontId="2" fillId="6" borderId="13" xfId="0" applyNumberFormat="1" applyFont="1" applyFill="1" applyBorder="1"/>
    <xf numFmtId="10" fontId="4" fillId="6" borderId="13" xfId="0" applyNumberFormat="1" applyFont="1" applyFill="1" applyBorder="1" applyAlignment="1">
      <alignment horizontal="center"/>
    </xf>
    <xf numFmtId="168" fontId="1" fillId="0" borderId="0" xfId="0" applyNumberFormat="1" applyFont="1"/>
    <xf numFmtId="169" fontId="2" fillId="6" borderId="13" xfId="0" applyNumberFormat="1" applyFont="1" applyFill="1" applyBorder="1"/>
    <xf numFmtId="164" fontId="26" fillId="6" borderId="13" xfId="0" applyNumberFormat="1" applyFont="1" applyFill="1" applyBorder="1"/>
    <xf numFmtId="164" fontId="7" fillId="11" borderId="19" xfId="0" applyNumberFormat="1" applyFont="1" applyFill="1" applyBorder="1"/>
    <xf numFmtId="0" fontId="4" fillId="10" borderId="13" xfId="0" applyFont="1" applyFill="1" applyBorder="1"/>
    <xf numFmtId="164" fontId="2" fillId="10" borderId="13" xfId="1" applyFont="1" applyFill="1" applyBorder="1" applyProtection="1"/>
    <xf numFmtId="4" fontId="2" fillId="10" borderId="13" xfId="0" applyNumberFormat="1" applyFont="1" applyFill="1" applyBorder="1"/>
    <xf numFmtId="10" fontId="4" fillId="10" borderId="13" xfId="0" applyNumberFormat="1" applyFont="1" applyFill="1" applyBorder="1" applyAlignment="1">
      <alignment horizontal="center"/>
    </xf>
    <xf numFmtId="0" fontId="4" fillId="0" borderId="13" xfId="0" applyFont="1" applyBorder="1"/>
    <xf numFmtId="164" fontId="2" fillId="0" borderId="13" xfId="1" applyFont="1" applyBorder="1" applyProtection="1"/>
    <xf numFmtId="4" fontId="2" fillId="0" borderId="13" xfId="0" applyNumberFormat="1" applyFont="1" applyBorder="1"/>
    <xf numFmtId="4" fontId="2" fillId="6" borderId="13" xfId="0" applyNumberFormat="1" applyFont="1" applyFill="1" applyBorder="1"/>
    <xf numFmtId="10" fontId="4" fillId="0" borderId="13" xfId="0" applyNumberFormat="1" applyFont="1" applyBorder="1" applyAlignment="1">
      <alignment horizontal="center"/>
    </xf>
    <xf numFmtId="164" fontId="2" fillId="0" borderId="13" xfId="1" applyFont="1" applyBorder="1" applyAlignment="1" applyProtection="1">
      <alignment wrapText="1"/>
    </xf>
    <xf numFmtId="4" fontId="4" fillId="6" borderId="13" xfId="0" applyNumberFormat="1" applyFont="1" applyFill="1" applyBorder="1"/>
    <xf numFmtId="4" fontId="26" fillId="0" borderId="13" xfId="0" applyNumberFormat="1" applyFont="1" applyBorder="1"/>
    <xf numFmtId="0" fontId="7" fillId="11" borderId="13" xfId="0" applyFont="1" applyFill="1" applyBorder="1"/>
    <xf numFmtId="164" fontId="7" fillId="11" borderId="13" xfId="1" applyFont="1" applyFill="1" applyBorder="1" applyProtection="1"/>
    <xf numFmtId="10" fontId="7" fillId="11" borderId="13" xfId="0" applyNumberFormat="1" applyFont="1" applyFill="1" applyBorder="1" applyAlignment="1">
      <alignment horizontal="center"/>
    </xf>
    <xf numFmtId="164" fontId="4" fillId="6" borderId="13" xfId="0" applyNumberFormat="1" applyFont="1" applyFill="1" applyBorder="1"/>
    <xf numFmtId="0" fontId="50" fillId="3" borderId="13" xfId="0" applyFont="1" applyFill="1" applyBorder="1"/>
    <xf numFmtId="164" fontId="50" fillId="3" borderId="13" xfId="1" applyFont="1" applyFill="1" applyBorder="1" applyProtection="1"/>
    <xf numFmtId="10" fontId="50" fillId="3" borderId="13" xfId="0" applyNumberFormat="1" applyFont="1" applyFill="1" applyBorder="1" applyAlignment="1">
      <alignment horizontal="center"/>
    </xf>
    <xf numFmtId="0" fontId="55" fillId="0" borderId="0" xfId="0" applyFont="1"/>
    <xf numFmtId="0" fontId="55" fillId="6" borderId="0" xfId="0" applyFont="1" applyFill="1"/>
    <xf numFmtId="0" fontId="7" fillId="12" borderId="0" xfId="0" applyFont="1" applyFill="1" applyAlignment="1">
      <alignment horizontal="center" vertical="center" wrapText="1"/>
    </xf>
    <xf numFmtId="0" fontId="56" fillId="0" borderId="0" xfId="0" applyFont="1"/>
    <xf numFmtId="0" fontId="56" fillId="6" borderId="0" xfId="0" applyFont="1" applyFill="1"/>
    <xf numFmtId="0" fontId="4" fillId="0" borderId="0" xfId="0" applyFont="1" applyAlignment="1">
      <alignment horizontal="justify" vertical="center" wrapText="1"/>
    </xf>
    <xf numFmtId="4" fontId="4" fillId="0" borderId="0" xfId="0" applyNumberFormat="1" applyFont="1" applyAlignment="1">
      <alignment horizontal="center" vertical="center" wrapText="1"/>
    </xf>
    <xf numFmtId="10" fontId="53" fillId="0" borderId="0" xfId="0" applyNumberFormat="1" applyFont="1" applyAlignment="1">
      <alignment horizontal="center"/>
    </xf>
    <xf numFmtId="164" fontId="1" fillId="6" borderId="13" xfId="0" applyNumberFormat="1" applyFont="1" applyFill="1" applyBorder="1"/>
    <xf numFmtId="0" fontId="4" fillId="14" borderId="0" xfId="0" applyFont="1" applyFill="1" applyAlignment="1">
      <alignment horizontal="justify" vertical="center" wrapText="1"/>
    </xf>
    <xf numFmtId="4" fontId="4" fillId="14" borderId="0" xfId="0" applyNumberFormat="1" applyFont="1" applyFill="1" applyAlignment="1">
      <alignment horizontal="center" vertical="center" wrapText="1"/>
    </xf>
    <xf numFmtId="10" fontId="53" fillId="14" borderId="0" xfId="0" applyNumberFormat="1" applyFont="1" applyFill="1" applyAlignment="1">
      <alignment horizontal="center"/>
    </xf>
    <xf numFmtId="164" fontId="53" fillId="6" borderId="13" xfId="0" applyNumberFormat="1" applyFont="1" applyFill="1" applyBorder="1"/>
    <xf numFmtId="0" fontId="53" fillId="6" borderId="13" xfId="0" applyFont="1" applyFill="1" applyBorder="1"/>
    <xf numFmtId="0" fontId="7" fillId="13" borderId="0" xfId="0" applyFont="1" applyFill="1" applyAlignment="1">
      <alignment horizontal="center" vertical="center" wrapText="1"/>
    </xf>
    <xf numFmtId="4" fontId="7" fillId="13" borderId="0" xfId="0" applyNumberFormat="1" applyFont="1" applyFill="1" applyAlignment="1">
      <alignment horizontal="center" vertical="center" wrapText="1"/>
    </xf>
    <xf numFmtId="10" fontId="7" fillId="13" borderId="0" xfId="0" applyNumberFormat="1" applyFont="1" applyFill="1" applyAlignment="1">
      <alignment horizontal="center" vertical="center" wrapText="1"/>
    </xf>
    <xf numFmtId="164" fontId="57" fillId="6" borderId="0" xfId="0" applyNumberFormat="1" applyFont="1" applyFill="1"/>
    <xf numFmtId="164" fontId="59" fillId="6" borderId="0" xfId="0" applyNumberFormat="1" applyFont="1" applyFill="1"/>
    <xf numFmtId="164" fontId="58" fillId="6" borderId="0" xfId="0" applyNumberFormat="1" applyFont="1" applyFill="1"/>
    <xf numFmtId="164" fontId="59" fillId="0" borderId="0" xfId="0" applyNumberFormat="1" applyFont="1"/>
    <xf numFmtId="0" fontId="61" fillId="20" borderId="35" xfId="0" applyFont="1" applyFill="1" applyBorder="1"/>
    <xf numFmtId="0" fontId="62" fillId="20" borderId="0" xfId="0" applyFont="1" applyFill="1" applyAlignment="1">
      <alignment horizontal="center" vertical="center" wrapText="1"/>
    </xf>
    <xf numFmtId="0" fontId="60" fillId="20" borderId="35" xfId="0" applyFont="1" applyFill="1" applyBorder="1" applyAlignment="1">
      <alignment horizontal="center" vertical="center" wrapText="1"/>
    </xf>
    <xf numFmtId="1" fontId="63" fillId="20" borderId="35" xfId="0" applyNumberFormat="1" applyFont="1" applyFill="1" applyBorder="1" applyAlignment="1">
      <alignment horizontal="center" vertical="center" wrapText="1"/>
    </xf>
    <xf numFmtId="1" fontId="64" fillId="20" borderId="35" xfId="1" applyNumberFormat="1" applyFont="1" applyFill="1" applyBorder="1" applyAlignment="1" applyProtection="1">
      <alignment horizontal="center" vertical="center" wrapText="1"/>
    </xf>
    <xf numFmtId="164" fontId="65" fillId="0" borderId="0" xfId="0" applyNumberFormat="1" applyFont="1" applyAlignment="1">
      <alignment horizontal="center" vertical="center" wrapText="1"/>
    </xf>
    <xf numFmtId="0" fontId="62" fillId="20" borderId="35" xfId="0" applyFont="1" applyFill="1" applyBorder="1" applyAlignment="1">
      <alignment vertical="center"/>
    </xf>
    <xf numFmtId="164" fontId="66" fillId="0" borderId="35" xfId="1" applyFont="1" applyBorder="1" applyAlignment="1" applyProtection="1">
      <alignment vertical="center"/>
    </xf>
    <xf numFmtId="10" fontId="66" fillId="0" borderId="35" xfId="2" applyNumberFormat="1" applyFont="1" applyBorder="1" applyAlignment="1" applyProtection="1">
      <alignment horizontal="center" vertical="center"/>
    </xf>
    <xf numFmtId="170" fontId="66" fillId="0" borderId="35" xfId="2" applyNumberFormat="1" applyFont="1" applyBorder="1" applyAlignment="1" applyProtection="1">
      <alignment horizontal="center" vertical="center"/>
    </xf>
    <xf numFmtId="170" fontId="68" fillId="0" borderId="35" xfId="2" applyNumberFormat="1" applyFont="1" applyBorder="1" applyAlignment="1" applyProtection="1">
      <alignment horizontal="center" vertical="center"/>
    </xf>
    <xf numFmtId="0" fontId="69" fillId="20" borderId="0" xfId="0" applyFont="1" applyFill="1" applyAlignment="1">
      <alignment horizontal="center" vertical="center" wrapText="1"/>
    </xf>
    <xf numFmtId="164" fontId="66" fillId="21" borderId="35" xfId="1" applyFont="1" applyFill="1" applyBorder="1" applyAlignment="1" applyProtection="1">
      <alignment vertical="center"/>
    </xf>
    <xf numFmtId="10" fontId="66" fillId="21" borderId="35" xfId="2" applyNumberFormat="1" applyFont="1" applyFill="1" applyBorder="1" applyAlignment="1" applyProtection="1">
      <alignment horizontal="center" vertical="center"/>
    </xf>
    <xf numFmtId="170" fontId="66" fillId="21" borderId="35" xfId="2" applyNumberFormat="1" applyFont="1" applyFill="1" applyBorder="1" applyAlignment="1" applyProtection="1">
      <alignment horizontal="center" vertical="center"/>
    </xf>
    <xf numFmtId="170" fontId="68" fillId="21" borderId="35" xfId="2" applyNumberFormat="1" applyFont="1" applyFill="1" applyBorder="1" applyAlignment="1" applyProtection="1">
      <alignment horizontal="center" vertical="center"/>
    </xf>
    <xf numFmtId="168" fontId="70" fillId="21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70" fontId="71" fillId="21" borderId="0" xfId="0" applyNumberFormat="1" applyFont="1" applyFill="1" applyAlignment="1">
      <alignment horizontal="center"/>
    </xf>
    <xf numFmtId="168" fontId="71" fillId="21" borderId="0" xfId="0" applyNumberFormat="1" applyFont="1" applyFill="1" applyAlignment="1">
      <alignment horizontal="center"/>
    </xf>
    <xf numFmtId="170" fontId="70" fillId="21" borderId="0" xfId="0" applyNumberFormat="1" applyFont="1" applyFill="1" applyAlignment="1">
      <alignment horizontal="center"/>
    </xf>
    <xf numFmtId="0" fontId="72" fillId="20" borderId="35" xfId="0" applyFont="1" applyFill="1" applyBorder="1" applyAlignment="1">
      <alignment vertical="center"/>
    </xf>
    <xf numFmtId="164" fontId="73" fillId="20" borderId="35" xfId="1" applyFont="1" applyFill="1" applyBorder="1" applyAlignment="1" applyProtection="1">
      <alignment vertical="center"/>
    </xf>
    <xf numFmtId="10" fontId="73" fillId="20" borderId="35" xfId="2" applyNumberFormat="1" applyFont="1" applyFill="1" applyBorder="1" applyAlignment="1" applyProtection="1">
      <alignment horizontal="center" vertical="center"/>
    </xf>
    <xf numFmtId="10" fontId="74" fillId="20" borderId="35" xfId="2" applyNumberFormat="1" applyFont="1" applyFill="1" applyBorder="1" applyAlignment="1" applyProtection="1">
      <alignment horizontal="center" vertical="center"/>
    </xf>
    <xf numFmtId="10" fontId="75" fillId="20" borderId="35" xfId="2" applyNumberFormat="1" applyFont="1" applyFill="1" applyBorder="1" applyAlignment="1" applyProtection="1">
      <alignment horizontal="center" vertical="center"/>
    </xf>
    <xf numFmtId="4" fontId="76" fillId="21" borderId="0" xfId="0" applyNumberFormat="1" applyFont="1" applyFill="1" applyAlignment="1">
      <alignment horizontal="center"/>
    </xf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4" fontId="76" fillId="21" borderId="0" xfId="0" applyNumberFormat="1" applyFont="1" applyFill="1" applyAlignment="1">
      <alignment horizontal="center" vertical="center"/>
    </xf>
    <xf numFmtId="0" fontId="51" fillId="0" borderId="0" xfId="0" applyFont="1"/>
    <xf numFmtId="0" fontId="81" fillId="0" borderId="0" xfId="0" applyFont="1"/>
    <xf numFmtId="4" fontId="82" fillId="0" borderId="0" xfId="0" applyNumberFormat="1" applyFont="1" applyAlignment="1">
      <alignment horizontal="center" vertical="center"/>
    </xf>
    <xf numFmtId="4" fontId="78" fillId="0" borderId="0" xfId="0" applyNumberFormat="1" applyFont="1"/>
    <xf numFmtId="170" fontId="76" fillId="21" borderId="0" xfId="0" applyNumberFormat="1" applyFont="1" applyFill="1" applyAlignment="1">
      <alignment horizontal="center"/>
    </xf>
    <xf numFmtId="0" fontId="83" fillId="22" borderId="0" xfId="0" applyFont="1" applyFill="1" applyAlignment="1">
      <alignment horizontal="justify" vertical="center" wrapText="1"/>
    </xf>
    <xf numFmtId="0" fontId="13" fillId="8" borderId="0" xfId="0" applyFont="1" applyFill="1" applyAlignment="1">
      <alignment horizontal="center" vertical="center" wrapText="1"/>
    </xf>
    <xf numFmtId="4" fontId="84" fillId="0" borderId="0" xfId="0" applyNumberFormat="1" applyFont="1" applyAlignment="1">
      <alignment horizontal="center"/>
    </xf>
    <xf numFmtId="0" fontId="85" fillId="0" borderId="0" xfId="0" applyFont="1"/>
    <xf numFmtId="0" fontId="86" fillId="0" borderId="0" xfId="0" applyFont="1"/>
    <xf numFmtId="4" fontId="86" fillId="0" borderId="0" xfId="0" applyNumberFormat="1" applyFont="1"/>
    <xf numFmtId="10" fontId="84" fillId="0" borderId="0" xfId="0" applyNumberFormat="1" applyFont="1" applyAlignment="1">
      <alignment horizontal="center"/>
    </xf>
    <xf numFmtId="0" fontId="1" fillId="19" borderId="0" xfId="0" applyFont="1" applyFill="1" applyAlignment="1">
      <alignment horizontal="center" vertical="center" wrapText="1"/>
    </xf>
    <xf numFmtId="166" fontId="7" fillId="19" borderId="18" xfId="0" applyNumberFormat="1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 wrapText="1"/>
    </xf>
    <xf numFmtId="0" fontId="7" fillId="19" borderId="20" xfId="0" applyFont="1" applyFill="1" applyBorder="1" applyAlignment="1">
      <alignment horizontal="center" vertical="center" wrapText="1"/>
    </xf>
    <xf numFmtId="164" fontId="87" fillId="6" borderId="13" xfId="0" applyNumberFormat="1" applyFont="1" applyFill="1" applyBorder="1"/>
    <xf numFmtId="164" fontId="7" fillId="11" borderId="13" xfId="0" applyNumberFormat="1" applyFont="1" applyFill="1" applyBorder="1"/>
    <xf numFmtId="164" fontId="2" fillId="6" borderId="13" xfId="1" applyFont="1" applyFill="1" applyBorder="1" applyProtection="1"/>
    <xf numFmtId="164" fontId="4" fillId="6" borderId="13" xfId="1" applyFont="1" applyFill="1" applyBorder="1" applyProtection="1"/>
    <xf numFmtId="164" fontId="2" fillId="6" borderId="13" xfId="1" applyFont="1" applyFill="1" applyBorder="1" applyAlignment="1" applyProtection="1">
      <alignment wrapText="1"/>
    </xf>
    <xf numFmtId="168" fontId="2" fillId="6" borderId="13" xfId="0" applyNumberFormat="1" applyFont="1" applyFill="1" applyBorder="1" applyAlignment="1">
      <alignment horizontal="right"/>
    </xf>
    <xf numFmtId="10" fontId="4" fillId="23" borderId="13" xfId="0" applyNumberFormat="1" applyFont="1" applyFill="1" applyBorder="1" applyAlignment="1">
      <alignment horizontal="center"/>
    </xf>
    <xf numFmtId="10" fontId="4" fillId="19" borderId="13" xfId="0" applyNumberFormat="1" applyFont="1" applyFill="1" applyBorder="1" applyAlignment="1">
      <alignment horizontal="center"/>
    </xf>
    <xf numFmtId="0" fontId="0" fillId="0" borderId="0" xfId="0" quotePrefix="1"/>
    <xf numFmtId="171" fontId="0" fillId="0" borderId="0" xfId="0" applyNumberFormat="1"/>
    <xf numFmtId="0" fontId="89" fillId="6" borderId="0" xfId="0" applyFont="1" applyFill="1"/>
    <xf numFmtId="0" fontId="87" fillId="6" borderId="13" xfId="0" applyFont="1" applyFill="1" applyBorder="1"/>
    <xf numFmtId="0" fontId="87" fillId="0" borderId="13" xfId="0" applyFont="1" applyBorder="1"/>
    <xf numFmtId="0" fontId="90" fillId="6" borderId="13" xfId="0" applyFont="1" applyFill="1" applyBorder="1"/>
    <xf numFmtId="0" fontId="89" fillId="0" borderId="0" xfId="0" applyFont="1"/>
    <xf numFmtId="164" fontId="89" fillId="6" borderId="13" xfId="0" applyNumberFormat="1" applyFont="1" applyFill="1" applyBorder="1"/>
    <xf numFmtId="0" fontId="89" fillId="6" borderId="13" xfId="0" applyFont="1" applyFill="1" applyBorder="1"/>
    <xf numFmtId="0" fontId="88" fillId="6" borderId="13" xfId="0" applyFont="1" applyFill="1" applyBorder="1"/>
    <xf numFmtId="164" fontId="53" fillId="6" borderId="13" xfId="0" applyNumberFormat="1" applyFont="1" applyFill="1" applyBorder="1" applyAlignment="1">
      <alignment horizontal="center"/>
    </xf>
    <xf numFmtId="0" fontId="53" fillId="0" borderId="0" xfId="0" applyFont="1"/>
    <xf numFmtId="0" fontId="8" fillId="6" borderId="13" xfId="0" applyFont="1" applyFill="1" applyBorder="1"/>
    <xf numFmtId="164" fontId="53" fillId="24" borderId="13" xfId="0" applyNumberFormat="1" applyFont="1" applyFill="1" applyBorder="1"/>
    <xf numFmtId="164" fontId="8" fillId="24" borderId="13" xfId="0" applyNumberFormat="1" applyFont="1" applyFill="1" applyBorder="1"/>
    <xf numFmtId="0" fontId="8" fillId="24" borderId="13" xfId="0" applyFont="1" applyFill="1" applyBorder="1"/>
    <xf numFmtId="164" fontId="89" fillId="6" borderId="0" xfId="0" applyNumberFormat="1" applyFont="1" applyFill="1"/>
    <xf numFmtId="0" fontId="88" fillId="6" borderId="0" xfId="0" applyFont="1" applyFill="1"/>
    <xf numFmtId="0" fontId="91" fillId="6" borderId="0" xfId="0" applyFont="1" applyFill="1"/>
    <xf numFmtId="168" fontId="89" fillId="6" borderId="0" xfId="0" applyNumberFormat="1" applyFont="1" applyFill="1"/>
    <xf numFmtId="168" fontId="88" fillId="6" borderId="0" xfId="0" applyNumberFormat="1" applyFont="1" applyFill="1"/>
    <xf numFmtId="164" fontId="89" fillId="6" borderId="36" xfId="0" applyNumberFormat="1" applyFont="1" applyFill="1" applyBorder="1"/>
    <xf numFmtId="0" fontId="89" fillId="6" borderId="36" xfId="0" applyFont="1" applyFill="1" applyBorder="1"/>
    <xf numFmtId="164" fontId="92" fillId="6" borderId="13" xfId="0" applyNumberFormat="1" applyFont="1" applyFill="1" applyBorder="1"/>
    <xf numFmtId="4" fontId="89" fillId="6" borderId="13" xfId="0" applyNumberFormat="1" applyFont="1" applyFill="1" applyBorder="1"/>
    <xf numFmtId="0" fontId="93" fillId="18" borderId="19" xfId="0" applyFont="1" applyFill="1" applyBorder="1" applyAlignment="1">
      <alignment horizontal="center" vertical="center" wrapText="1"/>
    </xf>
    <xf numFmtId="0" fontId="94" fillId="0" borderId="0" xfId="0" applyFont="1"/>
    <xf numFmtId="164" fontId="95" fillId="6" borderId="13" xfId="0" applyNumberFormat="1" applyFont="1" applyFill="1" applyBorder="1"/>
    <xf numFmtId="4" fontId="95" fillId="10" borderId="13" xfId="0" applyNumberFormat="1" applyFont="1" applyFill="1" applyBorder="1"/>
    <xf numFmtId="4" fontId="95" fillId="6" borderId="13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5" applyFont="1"/>
    <xf numFmtId="0" fontId="3" fillId="0" borderId="0" xfId="0" applyFont="1" applyAlignment="1">
      <alignment horizontal="center"/>
    </xf>
    <xf numFmtId="164" fontId="4" fillId="3" borderId="0" xfId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4" fillId="3" borderId="1" xfId="1" applyFont="1" applyFill="1" applyBorder="1" applyAlignment="1" applyProtection="1">
      <alignment horizontal="center" vertical="center" wrapText="1"/>
    </xf>
    <xf numFmtId="164" fontId="4" fillId="3" borderId="12" xfId="1" applyFont="1" applyFill="1" applyBorder="1" applyAlignment="1" applyProtection="1">
      <alignment horizontal="center" vertical="center" wrapText="1"/>
    </xf>
    <xf numFmtId="164" fontId="4" fillId="5" borderId="12" xfId="1" applyFont="1" applyFill="1" applyBorder="1" applyAlignment="1" applyProtection="1">
      <alignment horizontal="center" vertical="center" wrapText="1"/>
    </xf>
    <xf numFmtId="49" fontId="4" fillId="5" borderId="12" xfId="1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/>
    <xf numFmtId="0" fontId="0" fillId="0" borderId="0" xfId="0"/>
    <xf numFmtId="164" fontId="4" fillId="4" borderId="12" xfId="1" applyFont="1" applyFill="1" applyBorder="1" applyAlignment="1" applyProtection="1">
      <alignment horizontal="center" vertical="center" wrapText="1"/>
    </xf>
    <xf numFmtId="49" fontId="4" fillId="3" borderId="12" xfId="1" applyNumberFormat="1" applyFont="1" applyFill="1" applyBorder="1" applyAlignment="1" applyProtection="1">
      <alignment horizontal="center" vertical="center" wrapText="1"/>
    </xf>
    <xf numFmtId="0" fontId="0" fillId="4" borderId="12" xfId="0" applyFill="1" applyBorder="1"/>
    <xf numFmtId="164" fontId="7" fillId="0" borderId="14" xfId="1" applyFont="1" applyBorder="1" applyAlignment="1" applyProtection="1">
      <alignment horizontal="center" vertical="center"/>
    </xf>
    <xf numFmtId="164" fontId="9" fillId="0" borderId="0" xfId="1" applyFont="1" applyBorder="1" applyAlignment="1" applyProtection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textRotation="90"/>
    </xf>
    <xf numFmtId="4" fontId="17" fillId="10" borderId="21" xfId="0" applyNumberFormat="1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 textRotation="90" shrinkToFit="1"/>
    </xf>
    <xf numFmtId="0" fontId="34" fillId="8" borderId="0" xfId="0" applyFont="1" applyFill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0" fontId="45" fillId="6" borderId="12" xfId="0" applyFont="1" applyFill="1" applyBorder="1" applyAlignment="1">
      <alignment horizontal="left" vertical="top" wrapText="1"/>
    </xf>
    <xf numFmtId="0" fontId="46" fillId="6" borderId="12" xfId="0" applyFont="1" applyFill="1" applyBorder="1" applyAlignment="1">
      <alignment horizontal="center" vertical="center" wrapText="1"/>
    </xf>
    <xf numFmtId="0" fontId="45" fillId="6" borderId="12" xfId="0" applyFont="1" applyFill="1" applyBorder="1" applyAlignment="1">
      <alignment horizontal="center" vertical="center" wrapText="1"/>
    </xf>
    <xf numFmtId="0" fontId="46" fillId="6" borderId="31" xfId="0" applyFont="1" applyFill="1" applyBorder="1" applyAlignment="1">
      <alignment horizontal="center" vertical="center" wrapText="1"/>
    </xf>
    <xf numFmtId="0" fontId="49" fillId="6" borderId="30" xfId="0" applyFont="1" applyFill="1" applyBorder="1" applyAlignment="1">
      <alignment horizontal="center" vertical="center" wrapText="1"/>
    </xf>
    <xf numFmtId="0" fontId="46" fillId="6" borderId="32" xfId="0" applyFont="1" applyFill="1" applyBorder="1" applyAlignment="1">
      <alignment horizontal="center" vertical="center" wrapText="1"/>
    </xf>
    <xf numFmtId="0" fontId="49" fillId="6" borderId="33" xfId="0" applyFont="1" applyFill="1" applyBorder="1" applyAlignment="1">
      <alignment horizontal="right" vertical="top" wrapText="1"/>
    </xf>
    <xf numFmtId="0" fontId="48" fillId="6" borderId="0" xfId="0" applyFont="1" applyFill="1" applyAlignment="1">
      <alignment horizontal="center" vertical="top" wrapText="1"/>
    </xf>
    <xf numFmtId="0" fontId="49" fillId="6" borderId="30" xfId="0" applyFont="1" applyFill="1" applyBorder="1" applyAlignment="1">
      <alignment horizontal="left" vertical="top" wrapText="1"/>
    </xf>
    <xf numFmtId="0" fontId="60" fillId="20" borderId="34" xfId="0" applyFont="1" applyFill="1" applyBorder="1" applyAlignment="1">
      <alignment horizontal="center" vertical="center"/>
    </xf>
    <xf numFmtId="1" fontId="60" fillId="20" borderId="35" xfId="0" applyNumberFormat="1" applyFont="1" applyFill="1" applyBorder="1" applyAlignment="1">
      <alignment horizontal="center" vertical="center"/>
    </xf>
    <xf numFmtId="0" fontId="60" fillId="20" borderId="35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168" fontId="79" fillId="0" borderId="0" xfId="0" applyNumberFormat="1" applyFont="1" applyAlignment="1">
      <alignment horizontal="center" vertical="center"/>
    </xf>
    <xf numFmtId="0" fontId="54" fillId="19" borderId="13" xfId="0" applyFont="1" applyFill="1" applyBorder="1" applyAlignment="1">
      <alignment horizontal="center" vertical="center"/>
    </xf>
    <xf numFmtId="0" fontId="53" fillId="14" borderId="0" xfId="0" applyFont="1" applyFill="1" applyAlignment="1">
      <alignment horizontal="center" vertical="center"/>
    </xf>
    <xf numFmtId="0" fontId="50" fillId="7" borderId="0" xfId="0" applyFont="1" applyFill="1" applyAlignment="1">
      <alignment horizontal="center" vertical="center"/>
    </xf>
    <xf numFmtId="0" fontId="51" fillId="17" borderId="18" xfId="0" applyFont="1" applyFill="1" applyBorder="1" applyAlignment="1">
      <alignment horizontal="center" vertical="center" wrapText="1"/>
    </xf>
    <xf numFmtId="0" fontId="52" fillId="17" borderId="0" xfId="0" applyFont="1" applyFill="1" applyAlignment="1">
      <alignment horizontal="center" vertical="center" textRotation="90"/>
    </xf>
    <xf numFmtId="0" fontId="53" fillId="17" borderId="0" xfId="0" applyFont="1" applyFill="1" applyAlignment="1">
      <alignment horizontal="center" vertical="center"/>
    </xf>
    <xf numFmtId="0" fontId="53" fillId="17" borderId="0" xfId="0" applyFont="1" applyFill="1" applyAlignment="1">
      <alignment horizontal="center" vertical="center" textRotation="90" shrinkToFit="1"/>
    </xf>
    <xf numFmtId="0" fontId="53" fillId="19" borderId="0" xfId="0" applyFont="1" applyFill="1" applyAlignment="1">
      <alignment horizontal="center" vertical="center" textRotation="90" shrinkToFit="1"/>
    </xf>
    <xf numFmtId="0" fontId="50" fillId="19" borderId="13" xfId="0" applyFont="1" applyFill="1" applyBorder="1" applyAlignment="1">
      <alignment horizontal="center" vertical="center"/>
    </xf>
    <xf numFmtId="0" fontId="50" fillId="7" borderId="17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center" vertical="center" wrapText="1"/>
    </xf>
    <xf numFmtId="0" fontId="52" fillId="19" borderId="0" xfId="0" applyFont="1" applyFill="1" applyAlignment="1">
      <alignment horizontal="center" vertical="center" textRotation="90"/>
    </xf>
    <xf numFmtId="0" fontId="53" fillId="19" borderId="0" xfId="0" applyFont="1" applyFill="1" applyAlignment="1">
      <alignment horizontal="center" vertical="center"/>
    </xf>
    <xf numFmtId="0" fontId="51" fillId="19" borderId="18" xfId="0" applyFont="1" applyFill="1" applyBorder="1" applyAlignment="1">
      <alignment horizontal="center" vertical="center" wrapText="1"/>
    </xf>
  </cellXfs>
  <cellStyles count="6">
    <cellStyle name="Categoria da tabela dinâmica" xfId="3" xr:uid="{00000000-0005-0000-0000-000006000000}"/>
    <cellStyle name="Moeda" xfId="5" builtinId="4"/>
    <cellStyle name="Normal" xfId="0" builtinId="0"/>
    <cellStyle name="Porcentagem" xfId="2" builtinId="5"/>
    <cellStyle name="Valor da tabela dinâmica" xfId="4" xr:uid="{00000000-0005-0000-0000-000007000000}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200"/>
      <rgbColor rgb="FFFF00FF"/>
      <rgbColor rgb="FF00FFFF"/>
      <rgbColor rgb="FF8B0000"/>
      <rgbColor rgb="FF228B22"/>
      <rgbColor rgb="FF000080"/>
      <rgbColor rgb="FFB47804"/>
      <rgbColor rgb="FFC9211E"/>
      <rgbColor rgb="FF008080"/>
      <rgbColor rgb="FFF7D1D5"/>
      <rgbColor rgb="FF8B4513"/>
      <rgbColor rgb="FFF3E0BE"/>
      <rgbColor rgb="FF8D281E"/>
      <rgbColor rgb="FFFFF2CC"/>
      <rgbColor rgb="FFFAFAFA"/>
      <rgbColor rgb="FF843C0B"/>
      <rgbColor rgb="FFFFD8CE"/>
      <rgbColor rgb="FF0066CC"/>
      <rgbColor rgb="FFDBE3F5"/>
      <rgbColor rgb="FF000080"/>
      <rgbColor rgb="FFFF00FF"/>
      <rgbColor rgb="FFFFDEAD"/>
      <rgbColor rgb="FF00FFFF"/>
      <rgbColor rgb="FF800080"/>
      <rgbColor rgb="FF813709"/>
      <rgbColor rgb="FF008080"/>
      <rgbColor rgb="FF0000FF"/>
      <rgbColor rgb="FF00CCFF"/>
      <rgbColor rgb="FFFBF7F7"/>
      <rgbColor rgb="FFEAE2CF"/>
      <rgbColor rgb="FFFDE9A9"/>
      <rgbColor rgb="FFF1DFD3"/>
      <rgbColor rgb="FFF4B183"/>
      <rgbColor rgb="FFFFD7D7"/>
      <rgbColor rgb="FFFFDBB6"/>
      <rgbColor rgb="FF3366FF"/>
      <rgbColor rgb="FF33CCCC"/>
      <rgbColor rgb="FFFBE5D6"/>
      <rgbColor rgb="FFFBDEAB"/>
      <rgbColor rgb="FFFFEBCD"/>
      <rgbColor rgb="FFE3241B"/>
      <rgbColor rgb="FF3465A4"/>
      <rgbColor rgb="FFF8DEC0"/>
      <rgbColor rgb="FF023F62"/>
      <rgbColor rgb="FF339966"/>
      <rgbColor rgb="FF003300"/>
      <rgbColor rgb="FF622502"/>
      <rgbColor rgb="FFA33E03"/>
      <rgbColor rgb="FFB22222"/>
      <rgbColor rgb="FF333399"/>
      <rgbColor rgb="FF561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730080</xdr:colOff>
      <xdr:row>170</xdr:row>
      <xdr:rowOff>91800</xdr:rowOff>
    </xdr:from>
    <xdr:to>
      <xdr:col>18</xdr:col>
      <xdr:colOff>245520</xdr:colOff>
      <xdr:row>194</xdr:row>
      <xdr:rowOff>159120</xdr:rowOff>
    </xdr:to>
    <xdr:pic>
      <xdr:nvPicPr>
        <xdr:cNvPr id="2" name="Figura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39320" y="33667560"/>
          <a:ext cx="10831680" cy="4410720"/>
        </a:xfrm>
        <a:prstGeom prst="rect">
          <a:avLst/>
        </a:prstGeom>
        <a:noFill/>
        <a:ln w="1908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133920</xdr:colOff>
      <xdr:row>50</xdr:row>
      <xdr:rowOff>37080</xdr:rowOff>
    </xdr:from>
    <xdr:to>
      <xdr:col>33</xdr:col>
      <xdr:colOff>203040</xdr:colOff>
      <xdr:row>61</xdr:row>
      <xdr:rowOff>72000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521240" y="9187920"/>
          <a:ext cx="4345200" cy="1963080"/>
        </a:xfrm>
        <a:prstGeom prst="rect">
          <a:avLst/>
        </a:prstGeom>
        <a:noFill/>
        <a:ln w="19080">
          <a:noFill/>
        </a:ln>
      </xdr:spPr>
    </xdr:pic>
    <xdr:clientData/>
  </xdr:twoCellAnchor>
  <xdr:twoCellAnchor editAs="oneCell">
    <xdr:from>
      <xdr:col>26</xdr:col>
      <xdr:colOff>133920</xdr:colOff>
      <xdr:row>44</xdr:row>
      <xdr:rowOff>144360</xdr:rowOff>
    </xdr:from>
    <xdr:to>
      <xdr:col>32</xdr:col>
      <xdr:colOff>340560</xdr:colOff>
      <xdr:row>50</xdr:row>
      <xdr:rowOff>101880</xdr:rowOff>
    </xdr:to>
    <xdr:pic>
      <xdr:nvPicPr>
        <xdr:cNvPr id="3" name="Imagem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1521240" y="8245800"/>
          <a:ext cx="3871800" cy="1006920"/>
        </a:xfrm>
        <a:prstGeom prst="rect">
          <a:avLst/>
        </a:prstGeom>
        <a:noFill/>
        <a:ln w="19080">
          <a:noFill/>
        </a:ln>
      </xdr:spPr>
    </xdr:pic>
    <xdr:clientData/>
  </xdr:twoCellAnchor>
  <xdr:twoCellAnchor editAs="oneCell">
    <xdr:from>
      <xdr:col>26</xdr:col>
      <xdr:colOff>260280</xdr:colOff>
      <xdr:row>56</xdr:row>
      <xdr:rowOff>3600</xdr:rowOff>
    </xdr:from>
    <xdr:to>
      <xdr:col>31</xdr:col>
      <xdr:colOff>98280</xdr:colOff>
      <xdr:row>60</xdr:row>
      <xdr:rowOff>41040</xdr:rowOff>
    </xdr:to>
    <xdr:pic>
      <xdr:nvPicPr>
        <xdr:cNvPr id="4" name="Imagem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1647600" y="10206000"/>
          <a:ext cx="2892600" cy="738720"/>
        </a:xfrm>
        <a:prstGeom prst="rect">
          <a:avLst/>
        </a:prstGeom>
        <a:noFill/>
        <a:ln w="19080">
          <a:noFill/>
        </a:ln>
      </xdr:spPr>
    </xdr:pic>
    <xdr:clientData/>
  </xdr:twoCellAnchor>
  <xdr:twoCellAnchor editAs="oneCell">
    <xdr:from>
      <xdr:col>26</xdr:col>
      <xdr:colOff>133920</xdr:colOff>
      <xdr:row>44</xdr:row>
      <xdr:rowOff>42840</xdr:rowOff>
    </xdr:from>
    <xdr:to>
      <xdr:col>32</xdr:col>
      <xdr:colOff>216000</xdr:colOff>
      <xdr:row>50</xdr:row>
      <xdr:rowOff>68760</xdr:rowOff>
    </xdr:to>
    <xdr:pic>
      <xdr:nvPicPr>
        <xdr:cNvPr id="5" name="Imagem 1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1521240" y="8144280"/>
          <a:ext cx="3747240" cy="1075320"/>
        </a:xfrm>
        <a:prstGeom prst="rect">
          <a:avLst/>
        </a:prstGeom>
        <a:noFill/>
        <a:ln w="1908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D1D058F\ARRECADA&#199;&#195;O%20FERMOJU%202025%20-%20VERS&#195;O%2013032025%20-%20ONE%20DRIVE%20%20RE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_POR_RECEITA_DETALHADA"/>
      <sheetName val="1. CONSOLIDAÇÃO_MENSAL 2024"/>
      <sheetName val="1. CONSOLIDAÇÃO_MENSAL 2025"/>
      <sheetName val="2_PROJEÇÕES_MARÇO-2025"/>
      <sheetName val="3__POR_ANO"/>
    </sheetNames>
    <sheetDataSet>
      <sheetData sheetId="0"/>
      <sheetData sheetId="1"/>
      <sheetData sheetId="2"/>
      <sheetData sheetId="3">
        <row r="45">
          <cell r="F45">
            <v>33664005.700037502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grid Monteiro Andrade Basto de Gois" id="{815F518D-C587-4C05-9F49-BFDD348C5446}" userId="S::53680@tjce.jus.br::4377fca8-9659-4bfa-a5eb-df568bf3bd23" providerId="AD"/>
</personList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8" dT="2026-06-24T13:31:15.49" personId="{815F518D-C587-4C05-9F49-BFDD348C5446}" id="{599B3788-6F91-4C76-A851-309095F772FD}">
    <text>custas processuais/recuperadas/divida ativa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170"/>
  <sheetViews>
    <sheetView topLeftCell="A47" zoomScaleNormal="100" workbookViewId="0">
      <selection activeCell="A79" sqref="A79"/>
    </sheetView>
  </sheetViews>
  <sheetFormatPr defaultColWidth="11.5546875" defaultRowHeight="14.25" customHeight="1"/>
  <cols>
    <col min="1" max="1" width="10.44140625" style="2" customWidth="1"/>
    <col min="2" max="2" width="18.33203125" style="3" customWidth="1"/>
    <col min="3" max="3" width="11.44140625" style="3" customWidth="1"/>
    <col min="4" max="4" width="15.109375" style="3" customWidth="1"/>
    <col min="5" max="5" width="11.44140625" style="3" customWidth="1"/>
    <col min="6" max="6" width="12.88671875" style="3" customWidth="1"/>
    <col min="7" max="7" width="14.109375" style="3" customWidth="1"/>
    <col min="8" max="8" width="14.33203125" style="3" customWidth="1"/>
    <col min="9" max="9" width="12.5546875" style="3" customWidth="1"/>
    <col min="10" max="10" width="14.5546875" style="3" customWidth="1"/>
    <col min="11" max="11" width="14.88671875" style="3" customWidth="1"/>
    <col min="12" max="12" width="14.5546875" style="3" customWidth="1"/>
    <col min="13" max="13" width="14.109375" style="3" customWidth="1"/>
    <col min="14" max="14" width="11.44140625" style="3" customWidth="1"/>
    <col min="15" max="15" width="14.33203125" style="3" customWidth="1"/>
    <col min="16" max="16" width="19.44140625" style="3" customWidth="1"/>
    <col min="17" max="17" width="16.6640625" style="3" customWidth="1"/>
    <col min="18" max="18" width="13.6640625" style="3" customWidth="1"/>
    <col min="19" max="20" width="11.5546875" style="3"/>
    <col min="21" max="21" width="19.6640625" style="3" customWidth="1"/>
    <col min="22" max="22" width="39.6640625" style="3" customWidth="1"/>
    <col min="23" max="23" width="10.5546875" style="2" customWidth="1"/>
    <col min="24" max="24" width="8.6640625" style="2" customWidth="1"/>
    <col min="25" max="25" width="13.109375" style="2" customWidth="1"/>
    <col min="26" max="26" width="14.44140625" style="2" customWidth="1"/>
    <col min="27" max="27" width="14.6640625" style="2" customWidth="1"/>
    <col min="28" max="28" width="11.5546875" style="2"/>
    <col min="29" max="29" width="10.5546875" style="2" customWidth="1"/>
    <col min="30" max="30" width="8.6640625" style="2" customWidth="1"/>
    <col min="31" max="31" width="10.5546875" style="2" customWidth="1"/>
    <col min="32" max="32" width="11.5546875" style="2"/>
    <col min="33" max="33" width="12.88671875" style="2" customWidth="1"/>
    <col min="34" max="34" width="11.5546875" style="2"/>
    <col min="35" max="35" width="12.88671875" style="2" customWidth="1"/>
    <col min="36" max="36" width="10.44140625" style="2" customWidth="1"/>
    <col min="37" max="37" width="13.88671875" style="2" customWidth="1"/>
    <col min="38" max="38" width="14.5546875" style="2" customWidth="1"/>
    <col min="39" max="39" width="12" style="2" customWidth="1"/>
    <col min="40" max="41" width="8.6640625" style="2" customWidth="1"/>
    <col min="42" max="42" width="15.5546875" style="2" customWidth="1"/>
    <col min="43" max="44" width="8.6640625" style="2" customWidth="1"/>
    <col min="45" max="45" width="11.44140625" style="2" customWidth="1"/>
    <col min="46" max="1024" width="8.6640625" style="2" customWidth="1"/>
  </cols>
  <sheetData>
    <row r="2" spans="1:1024" ht="14.4">
      <c r="E2" s="3" t="s">
        <v>0</v>
      </c>
      <c r="F2" s="3">
        <v>8460335.6999999993</v>
      </c>
    </row>
    <row r="3" spans="1:1024" ht="70.2">
      <c r="A3" s="370" t="s">
        <v>1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AI3" s="4" t="s">
        <v>2</v>
      </c>
    </row>
    <row r="4" spans="1:1024" ht="24" customHeight="1">
      <c r="A4" s="5"/>
      <c r="B4" s="371" t="s">
        <v>3</v>
      </c>
      <c r="C4" s="371"/>
      <c r="D4" s="371"/>
      <c r="E4" s="371" t="s">
        <v>4</v>
      </c>
      <c r="F4" s="371"/>
      <c r="G4" s="371"/>
      <c r="H4" s="371" t="s">
        <v>5</v>
      </c>
      <c r="I4" s="371"/>
      <c r="J4" s="371"/>
      <c r="K4" s="371"/>
      <c r="L4" s="371"/>
      <c r="M4" s="371" t="s">
        <v>6</v>
      </c>
      <c r="N4" s="371"/>
      <c r="O4" s="371"/>
      <c r="P4" s="6"/>
      <c r="Q4" s="6"/>
      <c r="R4" s="6"/>
      <c r="S4" s="6"/>
      <c r="T4" s="371" t="s">
        <v>7</v>
      </c>
      <c r="U4" s="371"/>
      <c r="V4" s="371"/>
      <c r="W4" s="5"/>
      <c r="X4" s="5"/>
      <c r="Y4" s="371" t="s">
        <v>8</v>
      </c>
      <c r="Z4" s="371"/>
      <c r="AA4" s="371"/>
      <c r="AB4" s="371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</row>
    <row r="5" spans="1:1024" ht="14.4">
      <c r="A5" s="2" t="s">
        <v>9</v>
      </c>
      <c r="B5" s="7" t="s">
        <v>10</v>
      </c>
      <c r="C5" s="7" t="s">
        <v>11</v>
      </c>
      <c r="D5" s="7" t="s">
        <v>12</v>
      </c>
      <c r="E5" s="7" t="s">
        <v>10</v>
      </c>
      <c r="F5" s="7" t="s">
        <v>11</v>
      </c>
      <c r="G5" s="7"/>
      <c r="H5" s="7" t="s">
        <v>10</v>
      </c>
      <c r="I5" s="7" t="s">
        <v>11</v>
      </c>
      <c r="J5" s="7" t="s">
        <v>13</v>
      </c>
      <c r="K5" s="7" t="s">
        <v>14</v>
      </c>
      <c r="L5" s="7" t="s">
        <v>12</v>
      </c>
      <c r="M5" s="7" t="s">
        <v>10</v>
      </c>
      <c r="N5" s="7" t="s">
        <v>11</v>
      </c>
      <c r="O5" s="8" t="s">
        <v>12</v>
      </c>
      <c r="P5" s="9"/>
      <c r="Q5" s="9"/>
      <c r="R5" s="9"/>
      <c r="S5" s="2" t="s">
        <v>9</v>
      </c>
      <c r="T5" s="7" t="s">
        <v>10</v>
      </c>
      <c r="U5" s="7" t="s">
        <v>11</v>
      </c>
      <c r="V5" s="7" t="s">
        <v>12</v>
      </c>
      <c r="X5" s="2" t="s">
        <v>9</v>
      </c>
      <c r="Y5" s="7" t="s">
        <v>15</v>
      </c>
      <c r="Z5" s="7" t="s">
        <v>16</v>
      </c>
      <c r="AA5" s="7" t="s">
        <v>17</v>
      </c>
      <c r="AB5" s="7" t="s">
        <v>12</v>
      </c>
      <c r="AI5" s="2" t="s">
        <v>18</v>
      </c>
      <c r="AJ5" s="2" t="s">
        <v>19</v>
      </c>
      <c r="AK5" s="2" t="s">
        <v>20</v>
      </c>
      <c r="AL5" s="2" t="s">
        <v>21</v>
      </c>
      <c r="AM5" s="2" t="s">
        <v>22</v>
      </c>
      <c r="AS5" s="2" t="s">
        <v>23</v>
      </c>
      <c r="AV5" s="2" t="s">
        <v>24</v>
      </c>
    </row>
    <row r="6" spans="1:1024" ht="14.4">
      <c r="A6" s="2" t="s">
        <v>25</v>
      </c>
      <c r="B6" s="10">
        <f>11436684.82</f>
        <v>11436684.82</v>
      </c>
      <c r="C6" s="3">
        <v>38915.620000000003</v>
      </c>
      <c r="D6" s="7">
        <f>(B6+C6)*0.97+1618.87</f>
        <v>11132951.296799999</v>
      </c>
      <c r="E6" s="3">
        <v>2439.6799999999998</v>
      </c>
      <c r="F6" s="3">
        <v>0</v>
      </c>
      <c r="G6" s="7">
        <f t="shared" ref="G6:G17" si="0">(E6+F6)*0.97</f>
        <v>2366.4895999999999</v>
      </c>
      <c r="H6" s="3">
        <f>(B6+E6)*0.97</f>
        <v>11095950.765000001</v>
      </c>
      <c r="I6" s="3">
        <f>(C6+F6)*0.97</f>
        <v>37748.151400000002</v>
      </c>
      <c r="J6" s="8">
        <f t="shared" ref="J6:J17" si="1">H6+I6</f>
        <v>11133698.9164</v>
      </c>
      <c r="K6" s="8">
        <v>1032.3499999999999</v>
      </c>
      <c r="L6" s="11">
        <f t="shared" ref="L6:L17" si="2">J6+K6</f>
        <v>11134731.2664</v>
      </c>
      <c r="M6" s="3">
        <v>451556.22</v>
      </c>
      <c r="O6" s="8">
        <f>(M6+N6)*0.97+0.58</f>
        <v>438010.11339999997</v>
      </c>
      <c r="Q6" s="12">
        <v>731388.61</v>
      </c>
      <c r="S6" s="2" t="s">
        <v>25</v>
      </c>
      <c r="T6" s="3">
        <v>393761.98</v>
      </c>
      <c r="U6" s="3">
        <v>906.6</v>
      </c>
      <c r="V6" s="8">
        <f t="shared" ref="V6:V18" si="3">T6+U6</f>
        <v>394668.57999999996</v>
      </c>
      <c r="X6" s="2" t="s">
        <v>25</v>
      </c>
      <c r="Y6" s="13">
        <f t="shared" ref="Y6:Y16" si="4">D6*0.03</f>
        <v>333988.53890399996</v>
      </c>
      <c r="Z6" s="3">
        <f t="shared" ref="Z6:Z17" si="5">G6*0.03</f>
        <v>70.994687999999996</v>
      </c>
      <c r="AA6" s="3">
        <f t="shared" ref="AA6:AA17" si="6">O6*0.03</f>
        <v>13140.303402</v>
      </c>
      <c r="AB6" s="8">
        <f t="shared" ref="AB6:AB17" si="7">Y6+Z6+AA6</f>
        <v>347199.83699399995</v>
      </c>
      <c r="AC6" s="2" t="s">
        <v>26</v>
      </c>
      <c r="AF6" s="2">
        <v>0</v>
      </c>
      <c r="AH6" s="2" t="s">
        <v>25</v>
      </c>
      <c r="AI6" s="3">
        <v>10638857.539999999</v>
      </c>
      <c r="AJ6" s="13">
        <f t="shared" ref="AJ6:AJ12" si="8">E6</f>
        <v>2439.6799999999998</v>
      </c>
      <c r="AK6" s="13">
        <f t="shared" ref="AK6:AK12" si="9">M6</f>
        <v>451556.22</v>
      </c>
      <c r="AL6" s="14">
        <f t="shared" ref="AL6:AL12" si="10">SUM(AI6:AK6)</f>
        <v>11092853.439999999</v>
      </c>
      <c r="AM6" s="14">
        <f t="shared" ref="AM6:AM12" si="11">AL6*0.03</f>
        <v>332785.60319999995</v>
      </c>
      <c r="AO6" s="2" t="s">
        <v>25</v>
      </c>
      <c r="AS6" s="14">
        <v>323245.83</v>
      </c>
    </row>
    <row r="7" spans="1:1024" ht="14.4">
      <c r="A7" s="2" t="s">
        <v>27</v>
      </c>
      <c r="B7" s="3">
        <v>14805140.130000001</v>
      </c>
      <c r="C7" s="3">
        <v>85445.57</v>
      </c>
      <c r="D7" s="7">
        <f>(B7+C7)*0.97+1032.35</f>
        <v>14444900.479</v>
      </c>
      <c r="E7" s="10">
        <v>18924.759999999998</v>
      </c>
      <c r="G7" s="7">
        <f t="shared" si="0"/>
        <v>18357.017199999998</v>
      </c>
      <c r="I7" s="3">
        <f t="shared" ref="I7:I13" si="12">(C7+F7)*0.97</f>
        <v>82882.202900000004</v>
      </c>
      <c r="J7" s="8">
        <f t="shared" si="1"/>
        <v>82882.202900000004</v>
      </c>
      <c r="K7" s="8"/>
      <c r="L7" s="11">
        <f t="shared" si="2"/>
        <v>82882.202900000004</v>
      </c>
      <c r="M7" s="10">
        <v>366330.63</v>
      </c>
      <c r="N7" s="3">
        <v>8385.34</v>
      </c>
      <c r="O7" s="8">
        <f>(M7+N7)*0.97+1.54</f>
        <v>363476.03090000001</v>
      </c>
      <c r="P7" s="3">
        <f>O7-363476.03</f>
        <v>8.9999998454004526E-4</v>
      </c>
      <c r="Q7" s="2">
        <v>908145.8</v>
      </c>
      <c r="S7" s="2" t="s">
        <v>27</v>
      </c>
      <c r="U7" s="10"/>
      <c r="V7" s="8">
        <f t="shared" si="3"/>
        <v>0</v>
      </c>
      <c r="X7" s="2" t="s">
        <v>27</v>
      </c>
      <c r="Y7" s="13">
        <f t="shared" si="4"/>
        <v>433347.01436999999</v>
      </c>
      <c r="Z7" s="3">
        <f t="shared" si="5"/>
        <v>550.71051599999998</v>
      </c>
      <c r="AA7" s="3">
        <f t="shared" si="6"/>
        <v>10904.280927</v>
      </c>
      <c r="AB7" s="8">
        <f t="shared" si="7"/>
        <v>444802.00581299997</v>
      </c>
      <c r="AC7" s="2" t="s">
        <v>28</v>
      </c>
      <c r="AF7" s="2">
        <v>661988.96</v>
      </c>
      <c r="AH7" s="2" t="s">
        <v>27</v>
      </c>
      <c r="AI7" s="3">
        <v>11205141.66</v>
      </c>
      <c r="AJ7" s="13">
        <f t="shared" si="8"/>
        <v>18924.759999999998</v>
      </c>
      <c r="AK7" s="13">
        <f t="shared" si="9"/>
        <v>366330.63</v>
      </c>
      <c r="AL7" s="14">
        <f t="shared" si="10"/>
        <v>11590397.050000001</v>
      </c>
      <c r="AM7" s="14">
        <f t="shared" si="11"/>
        <v>347711.91149999999</v>
      </c>
      <c r="AO7" s="2" t="s">
        <v>27</v>
      </c>
      <c r="AP7" s="14">
        <f>AM7+AM6</f>
        <v>680497.51469999994</v>
      </c>
      <c r="AS7" s="2">
        <v>340449.78</v>
      </c>
      <c r="AV7" s="2" t="s">
        <v>29</v>
      </c>
    </row>
    <row r="8" spans="1:1024" ht="14.4">
      <c r="A8" s="2" t="s">
        <v>30</v>
      </c>
      <c r="B8" s="15">
        <v>8016787.8600000003</v>
      </c>
      <c r="C8" s="10"/>
      <c r="D8" s="7">
        <f t="shared" ref="D8:D17" si="13">(B8+C8)*0.97</f>
        <v>7776284.2242000001</v>
      </c>
      <c r="E8" s="15">
        <v>7674.37</v>
      </c>
      <c r="G8" s="7">
        <f t="shared" si="0"/>
        <v>7444.1388999999999</v>
      </c>
      <c r="H8" s="3">
        <f>(B8+E8)*0.97</f>
        <v>7783728.3631000007</v>
      </c>
      <c r="I8" s="3">
        <f t="shared" si="12"/>
        <v>0</v>
      </c>
      <c r="J8" s="8">
        <f t="shared" si="1"/>
        <v>7783728.3631000007</v>
      </c>
      <c r="K8" s="8"/>
      <c r="L8" s="11">
        <f t="shared" si="2"/>
        <v>7783728.3631000007</v>
      </c>
      <c r="M8" s="15">
        <v>60999.53</v>
      </c>
      <c r="O8" s="8">
        <f t="shared" ref="O8:O17" si="14">(M8+N8)*0.97</f>
        <v>59169.544099999999</v>
      </c>
      <c r="S8" s="2" t="s">
        <v>30</v>
      </c>
      <c r="V8" s="8">
        <f t="shared" si="3"/>
        <v>0</v>
      </c>
      <c r="X8" s="2" t="s">
        <v>30</v>
      </c>
      <c r="Y8" s="13">
        <f t="shared" si="4"/>
        <v>233288.52672599998</v>
      </c>
      <c r="Z8" s="3">
        <f t="shared" si="5"/>
        <v>223.32416699999999</v>
      </c>
      <c r="AA8" s="3">
        <f t="shared" si="6"/>
        <v>1775.086323</v>
      </c>
      <c r="AB8" s="8">
        <f t="shared" si="7"/>
        <v>235286.93721599999</v>
      </c>
      <c r="AC8" s="2" t="s">
        <v>31</v>
      </c>
      <c r="AF8" s="2">
        <v>0</v>
      </c>
      <c r="AH8" s="2" t="s">
        <v>30</v>
      </c>
      <c r="AI8" s="3">
        <v>13906585.779999999</v>
      </c>
      <c r="AJ8" s="13">
        <f t="shared" si="8"/>
        <v>7674.37</v>
      </c>
      <c r="AK8" s="13">
        <f t="shared" si="9"/>
        <v>60999.53</v>
      </c>
      <c r="AL8" s="14">
        <f t="shared" si="10"/>
        <v>13975259.679999998</v>
      </c>
      <c r="AM8" s="14">
        <f t="shared" si="11"/>
        <v>419257.79039999994</v>
      </c>
      <c r="AO8" s="2" t="s">
        <v>30</v>
      </c>
      <c r="AP8" s="14"/>
      <c r="AS8" s="2">
        <v>423200.37</v>
      </c>
      <c r="AV8" s="2" t="s">
        <v>32</v>
      </c>
    </row>
    <row r="9" spans="1:1024" ht="14.4">
      <c r="A9" s="2" t="s">
        <v>33</v>
      </c>
      <c r="D9" s="7">
        <f t="shared" si="13"/>
        <v>0</v>
      </c>
      <c r="G9" s="7">
        <f t="shared" si="0"/>
        <v>0</v>
      </c>
      <c r="H9" s="3">
        <f>((B9+E9)*0.97)</f>
        <v>0</v>
      </c>
      <c r="I9" s="3">
        <f t="shared" si="12"/>
        <v>0</v>
      </c>
      <c r="J9" s="8">
        <f t="shared" si="1"/>
        <v>0</v>
      </c>
      <c r="K9" s="8"/>
      <c r="L9" s="11">
        <f t="shared" si="2"/>
        <v>0</v>
      </c>
      <c r="O9" s="8">
        <f t="shared" si="14"/>
        <v>0</v>
      </c>
      <c r="Q9" s="16">
        <f>B6+E6+M6+Q6+Q7+T6</f>
        <v>13923977.110000001</v>
      </c>
      <c r="S9" s="2" t="s">
        <v>33</v>
      </c>
      <c r="V9" s="8">
        <f t="shared" si="3"/>
        <v>0</v>
      </c>
      <c r="X9" s="2" t="s">
        <v>33</v>
      </c>
      <c r="Y9" s="13">
        <f t="shared" si="4"/>
        <v>0</v>
      </c>
      <c r="Z9" s="3">
        <f t="shared" si="5"/>
        <v>0</v>
      </c>
      <c r="AA9" s="3">
        <f t="shared" si="6"/>
        <v>0</v>
      </c>
      <c r="AB9" s="8">
        <f t="shared" si="7"/>
        <v>0</v>
      </c>
      <c r="AC9" s="2" t="s">
        <v>34</v>
      </c>
      <c r="AF9" s="2">
        <v>763650.15</v>
      </c>
      <c r="AH9" s="2" t="s">
        <v>33</v>
      </c>
      <c r="AI9" s="3">
        <v>10996722.42</v>
      </c>
      <c r="AJ9" s="13">
        <f t="shared" si="8"/>
        <v>0</v>
      </c>
      <c r="AK9" s="13">
        <f t="shared" si="9"/>
        <v>0</v>
      </c>
      <c r="AL9" s="14">
        <f t="shared" si="10"/>
        <v>10996722.42</v>
      </c>
      <c r="AM9" s="14">
        <f t="shared" si="11"/>
        <v>329901.67259999999</v>
      </c>
      <c r="AO9" s="2" t="s">
        <v>33</v>
      </c>
      <c r="AP9" s="14">
        <f>AM8+AM9</f>
        <v>749159.46299999999</v>
      </c>
      <c r="AS9" s="2">
        <v>335005.81</v>
      </c>
    </row>
    <row r="10" spans="1:1024" ht="14.4">
      <c r="A10" s="2" t="s">
        <v>35</v>
      </c>
      <c r="D10" s="7">
        <f t="shared" si="13"/>
        <v>0</v>
      </c>
      <c r="G10" s="7">
        <f t="shared" si="0"/>
        <v>0</v>
      </c>
      <c r="H10" s="3">
        <f>(B10+E10)*0.97</f>
        <v>0</v>
      </c>
      <c r="I10" s="3">
        <f t="shared" si="12"/>
        <v>0</v>
      </c>
      <c r="J10" s="8">
        <f t="shared" si="1"/>
        <v>0</v>
      </c>
      <c r="K10" s="8"/>
      <c r="L10" s="11">
        <f t="shared" si="2"/>
        <v>0</v>
      </c>
      <c r="O10" s="8">
        <f t="shared" si="14"/>
        <v>0</v>
      </c>
      <c r="P10" s="17">
        <f>O10+G10+C10+B10</f>
        <v>0</v>
      </c>
      <c r="Q10" s="3">
        <f>O10-P10</f>
        <v>0</v>
      </c>
      <c r="S10" s="2" t="s">
        <v>35</v>
      </c>
      <c r="V10" s="8">
        <f t="shared" si="3"/>
        <v>0</v>
      </c>
      <c r="X10" s="2" t="s">
        <v>35</v>
      </c>
      <c r="Y10" s="13">
        <f t="shared" si="4"/>
        <v>0</v>
      </c>
      <c r="Z10" s="3">
        <f t="shared" si="5"/>
        <v>0</v>
      </c>
      <c r="AA10" s="3">
        <f t="shared" si="6"/>
        <v>0</v>
      </c>
      <c r="AB10" s="8">
        <f t="shared" si="7"/>
        <v>0</v>
      </c>
      <c r="AC10" s="2" t="s">
        <v>36</v>
      </c>
      <c r="AF10" s="2">
        <v>444385.23</v>
      </c>
      <c r="AH10" s="2" t="s">
        <v>35</v>
      </c>
      <c r="AI10" s="3">
        <v>14673254.15</v>
      </c>
      <c r="AJ10" s="13">
        <f t="shared" si="8"/>
        <v>0</v>
      </c>
      <c r="AK10" s="13">
        <f t="shared" si="9"/>
        <v>0</v>
      </c>
      <c r="AL10" s="14">
        <f t="shared" si="10"/>
        <v>14673254.15</v>
      </c>
      <c r="AM10" s="14">
        <f t="shared" si="11"/>
        <v>440197.62449999998</v>
      </c>
      <c r="AO10" s="2" t="s">
        <v>35</v>
      </c>
      <c r="AP10" s="14">
        <f>AM10</f>
        <v>440197.62449999998</v>
      </c>
      <c r="AS10" s="2">
        <v>445395.38</v>
      </c>
    </row>
    <row r="11" spans="1:1024" ht="14.4">
      <c r="A11" s="2" t="s">
        <v>37</v>
      </c>
      <c r="D11" s="7">
        <f t="shared" si="13"/>
        <v>0</v>
      </c>
      <c r="G11" s="7">
        <f t="shared" si="0"/>
        <v>0</v>
      </c>
      <c r="H11" s="3">
        <f>(B11+E11)*0.97</f>
        <v>0</v>
      </c>
      <c r="I11" s="3">
        <f t="shared" si="12"/>
        <v>0</v>
      </c>
      <c r="J11" s="8">
        <f t="shared" si="1"/>
        <v>0</v>
      </c>
      <c r="K11" s="8"/>
      <c r="L11" s="11">
        <f t="shared" si="2"/>
        <v>0</v>
      </c>
      <c r="O11" s="8">
        <f t="shared" si="14"/>
        <v>0</v>
      </c>
      <c r="P11" s="3">
        <f>P10*0.03</f>
        <v>0</v>
      </c>
      <c r="S11" s="2" t="s">
        <v>37</v>
      </c>
      <c r="T11" s="10"/>
      <c r="U11" s="10"/>
      <c r="V11" s="8">
        <f t="shared" si="3"/>
        <v>0</v>
      </c>
      <c r="X11" s="2" t="s">
        <v>37</v>
      </c>
      <c r="Y11" s="13">
        <f t="shared" si="4"/>
        <v>0</v>
      </c>
      <c r="Z11" s="3">
        <f t="shared" si="5"/>
        <v>0</v>
      </c>
      <c r="AA11" s="3">
        <f t="shared" si="6"/>
        <v>0</v>
      </c>
      <c r="AB11" s="8">
        <f t="shared" si="7"/>
        <v>0</v>
      </c>
      <c r="AC11" s="2" t="s">
        <v>38</v>
      </c>
      <c r="AF11" s="2">
        <v>0</v>
      </c>
      <c r="AH11" s="2" t="s">
        <v>37</v>
      </c>
      <c r="AI11" s="3">
        <v>15203719.32</v>
      </c>
      <c r="AJ11" s="13">
        <f t="shared" si="8"/>
        <v>0</v>
      </c>
      <c r="AK11" s="13">
        <f t="shared" si="9"/>
        <v>0</v>
      </c>
      <c r="AL11" s="14">
        <f t="shared" si="10"/>
        <v>15203719.32</v>
      </c>
      <c r="AM11" s="14">
        <f t="shared" si="11"/>
        <v>456111.5796</v>
      </c>
      <c r="AO11" s="2" t="s">
        <v>37</v>
      </c>
      <c r="AP11" s="14"/>
      <c r="AS11" s="2">
        <v>461567.61</v>
      </c>
    </row>
    <row r="12" spans="1:1024" ht="14.4">
      <c r="A12" s="2" t="s">
        <v>39</v>
      </c>
      <c r="B12" s="10"/>
      <c r="D12" s="7">
        <f t="shared" si="13"/>
        <v>0</v>
      </c>
      <c r="G12" s="7">
        <f t="shared" si="0"/>
        <v>0</v>
      </c>
      <c r="H12" s="3">
        <f>(B12+E12)*0.97</f>
        <v>0</v>
      </c>
      <c r="I12" s="3">
        <f t="shared" si="12"/>
        <v>0</v>
      </c>
      <c r="J12" s="8">
        <f t="shared" si="1"/>
        <v>0</v>
      </c>
      <c r="K12" s="8"/>
      <c r="L12" s="11">
        <f t="shared" si="2"/>
        <v>0</v>
      </c>
      <c r="O12" s="8">
        <f t="shared" si="14"/>
        <v>0</v>
      </c>
      <c r="P12" s="3">
        <f>O12+L12</f>
        <v>0</v>
      </c>
      <c r="Q12" s="3">
        <f>(12085/10638)-1</f>
        <v>0.13602180861064106</v>
      </c>
      <c r="S12" s="2" t="s">
        <v>39</v>
      </c>
      <c r="V12" s="8">
        <f t="shared" si="3"/>
        <v>0</v>
      </c>
      <c r="X12" s="2" t="s">
        <v>39</v>
      </c>
      <c r="Y12" s="13">
        <f t="shared" si="4"/>
        <v>0</v>
      </c>
      <c r="Z12" s="3">
        <f t="shared" si="5"/>
        <v>0</v>
      </c>
      <c r="AA12" s="3">
        <f t="shared" si="6"/>
        <v>0</v>
      </c>
      <c r="AB12" s="8">
        <f t="shared" si="7"/>
        <v>0</v>
      </c>
      <c r="AC12" s="2" t="s">
        <v>36</v>
      </c>
      <c r="AF12" s="2">
        <v>921133.85</v>
      </c>
      <c r="AH12" s="2" t="s">
        <v>39</v>
      </c>
      <c r="AI12" s="3">
        <v>15105470.949999999</v>
      </c>
      <c r="AJ12" s="13">
        <f t="shared" si="8"/>
        <v>0</v>
      </c>
      <c r="AK12" s="13">
        <f t="shared" si="9"/>
        <v>0</v>
      </c>
      <c r="AL12" s="14">
        <f t="shared" si="10"/>
        <v>15105470.949999999</v>
      </c>
      <c r="AM12" s="14">
        <f t="shared" si="11"/>
        <v>453164.12849999993</v>
      </c>
      <c r="AO12" s="2" t="s">
        <v>39</v>
      </c>
      <c r="AP12" s="14">
        <f>AM11+AM12</f>
        <v>909275.70809999993</v>
      </c>
      <c r="AS12" s="2">
        <v>462291.67</v>
      </c>
    </row>
    <row r="13" spans="1:1024" ht="14.4">
      <c r="A13" s="2" t="s">
        <v>40</v>
      </c>
      <c r="D13" s="7">
        <f t="shared" si="13"/>
        <v>0</v>
      </c>
      <c r="G13" s="7">
        <f t="shared" si="0"/>
        <v>0</v>
      </c>
      <c r="H13" s="3">
        <f>(B13+E13)*0.97</f>
        <v>0</v>
      </c>
      <c r="I13" s="3">
        <f t="shared" si="12"/>
        <v>0</v>
      </c>
      <c r="J13" s="8">
        <f t="shared" si="1"/>
        <v>0</v>
      </c>
      <c r="K13" s="8"/>
      <c r="L13" s="11">
        <f t="shared" si="2"/>
        <v>0</v>
      </c>
      <c r="O13" s="8">
        <f t="shared" si="14"/>
        <v>0</v>
      </c>
      <c r="P13" s="3">
        <f>O13+L13</f>
        <v>0</v>
      </c>
      <c r="S13" s="2" t="s">
        <v>40</v>
      </c>
      <c r="V13" s="8">
        <f t="shared" si="3"/>
        <v>0</v>
      </c>
      <c r="X13" s="2" t="s">
        <v>40</v>
      </c>
      <c r="Y13" s="13">
        <f t="shared" si="4"/>
        <v>0</v>
      </c>
      <c r="Z13" s="3">
        <f t="shared" si="5"/>
        <v>0</v>
      </c>
      <c r="AA13" s="3">
        <f t="shared" si="6"/>
        <v>0</v>
      </c>
      <c r="AB13" s="8">
        <f t="shared" si="7"/>
        <v>0</v>
      </c>
      <c r="AP13" s="2">
        <f>SUM(AP6:AP12)</f>
        <v>2779130.3103</v>
      </c>
      <c r="AS13" s="2">
        <f>SUM(AS6:AS12)</f>
        <v>2791156.4499999997</v>
      </c>
    </row>
    <row r="14" spans="1:1024" ht="14.4">
      <c r="A14" s="2" t="s">
        <v>41</v>
      </c>
      <c r="D14" s="7">
        <f t="shared" si="13"/>
        <v>0</v>
      </c>
      <c r="G14" s="7">
        <f t="shared" si="0"/>
        <v>0</v>
      </c>
      <c r="H14" s="3">
        <f>(B14+E14)*0.97</f>
        <v>0</v>
      </c>
      <c r="J14" s="8">
        <f t="shared" si="1"/>
        <v>0</v>
      </c>
      <c r="K14" s="8"/>
      <c r="L14" s="11">
        <f t="shared" si="2"/>
        <v>0</v>
      </c>
      <c r="O14" s="8">
        <f t="shared" si="14"/>
        <v>0</v>
      </c>
      <c r="S14" s="2" t="s">
        <v>41</v>
      </c>
      <c r="V14" s="8">
        <f t="shared" si="3"/>
        <v>0</v>
      </c>
      <c r="X14" s="2" t="s">
        <v>41</v>
      </c>
      <c r="Y14" s="13">
        <f t="shared" si="4"/>
        <v>0</v>
      </c>
      <c r="Z14" s="3">
        <f t="shared" si="5"/>
        <v>0</v>
      </c>
      <c r="AA14" s="3">
        <f t="shared" si="6"/>
        <v>0</v>
      </c>
      <c r="AB14" s="8">
        <f t="shared" si="7"/>
        <v>0</v>
      </c>
      <c r="AC14" s="2" t="s">
        <v>42</v>
      </c>
    </row>
    <row r="15" spans="1:1024" ht="14.4">
      <c r="A15" s="2" t="s">
        <v>43</v>
      </c>
      <c r="B15" s="9"/>
      <c r="D15" s="7">
        <f t="shared" si="13"/>
        <v>0</v>
      </c>
      <c r="E15" s="10"/>
      <c r="G15" s="7">
        <f t="shared" si="0"/>
        <v>0</v>
      </c>
      <c r="H15" s="3">
        <f>((B15+E15)*0.97)</f>
        <v>0</v>
      </c>
      <c r="I15" s="3">
        <f>C15+F15</f>
        <v>0</v>
      </c>
      <c r="J15" s="8">
        <f t="shared" si="1"/>
        <v>0</v>
      </c>
      <c r="K15" s="8"/>
      <c r="L15" s="11">
        <f t="shared" si="2"/>
        <v>0</v>
      </c>
      <c r="O15" s="8">
        <f t="shared" si="14"/>
        <v>0</v>
      </c>
      <c r="P15" s="3">
        <f>383030.9-383029.56</f>
        <v>1.3400000000256114</v>
      </c>
      <c r="S15" s="2" t="s">
        <v>43</v>
      </c>
      <c r="U15" s="18"/>
      <c r="V15" s="8">
        <f t="shared" si="3"/>
        <v>0</v>
      </c>
      <c r="X15" s="2" t="s">
        <v>43</v>
      </c>
      <c r="Y15" s="13">
        <f t="shared" si="4"/>
        <v>0</v>
      </c>
      <c r="Z15" s="3">
        <f t="shared" si="5"/>
        <v>0</v>
      </c>
      <c r="AA15" s="3">
        <f t="shared" si="6"/>
        <v>0</v>
      </c>
      <c r="AB15" s="8">
        <f t="shared" si="7"/>
        <v>0</v>
      </c>
      <c r="AC15" s="2" t="s">
        <v>44</v>
      </c>
    </row>
    <row r="16" spans="1:1024" ht="14.4">
      <c r="A16" s="2" t="s">
        <v>45</v>
      </c>
      <c r="D16" s="7">
        <f t="shared" si="13"/>
        <v>0</v>
      </c>
      <c r="E16" s="10"/>
      <c r="G16" s="7">
        <f t="shared" si="0"/>
        <v>0</v>
      </c>
      <c r="H16" s="3">
        <f>(B16+E16)*0.97</f>
        <v>0</v>
      </c>
      <c r="I16" s="3">
        <f>C16+F16</f>
        <v>0</v>
      </c>
      <c r="J16" s="8">
        <f t="shared" si="1"/>
        <v>0</v>
      </c>
      <c r="K16" s="8"/>
      <c r="L16" s="11">
        <f t="shared" si="2"/>
        <v>0</v>
      </c>
      <c r="O16" s="8">
        <f t="shared" si="14"/>
        <v>0</v>
      </c>
      <c r="P16" s="3">
        <f>11170141.21-D16-G16</f>
        <v>11170141.210000001</v>
      </c>
      <c r="S16" s="2" t="s">
        <v>45</v>
      </c>
      <c r="V16" s="8">
        <f t="shared" si="3"/>
        <v>0</v>
      </c>
      <c r="X16" s="2" t="s">
        <v>45</v>
      </c>
      <c r="Y16" s="13">
        <f t="shared" si="4"/>
        <v>0</v>
      </c>
      <c r="Z16" s="3">
        <f t="shared" si="5"/>
        <v>0</v>
      </c>
      <c r="AA16" s="3">
        <f t="shared" si="6"/>
        <v>0</v>
      </c>
      <c r="AB16" s="8">
        <f t="shared" si="7"/>
        <v>0</v>
      </c>
    </row>
    <row r="17" spans="1:1024" ht="14.4">
      <c r="A17" s="2" t="s">
        <v>46</v>
      </c>
      <c r="D17" s="7">
        <f t="shared" si="13"/>
        <v>0</v>
      </c>
      <c r="G17" s="7">
        <f t="shared" si="0"/>
        <v>0</v>
      </c>
      <c r="H17" s="3">
        <f>B17+E17</f>
        <v>0</v>
      </c>
      <c r="I17" s="3">
        <f>C17+F17</f>
        <v>0</v>
      </c>
      <c r="J17" s="8">
        <f t="shared" si="1"/>
        <v>0</v>
      </c>
      <c r="K17" s="8"/>
      <c r="L17" s="11">
        <f t="shared" si="2"/>
        <v>0</v>
      </c>
      <c r="O17" s="8">
        <f t="shared" si="14"/>
        <v>0</v>
      </c>
      <c r="S17" s="2" t="s">
        <v>46</v>
      </c>
      <c r="V17" s="8">
        <f t="shared" si="3"/>
        <v>0</v>
      </c>
      <c r="X17" s="2" t="s">
        <v>46</v>
      </c>
      <c r="Y17" s="13">
        <v>119366.06</v>
      </c>
      <c r="Z17" s="3">
        <f t="shared" si="5"/>
        <v>0</v>
      </c>
      <c r="AA17" s="3">
        <f t="shared" si="6"/>
        <v>0</v>
      </c>
      <c r="AB17" s="8">
        <f t="shared" si="7"/>
        <v>119366.06</v>
      </c>
    </row>
    <row r="18" spans="1:1024" ht="14.4">
      <c r="A18" s="19" t="s">
        <v>47</v>
      </c>
      <c r="B18" s="11">
        <f t="shared" ref="B18:O18" si="15">SUM(B6:B17)</f>
        <v>34258612.810000002</v>
      </c>
      <c r="C18" s="11">
        <f t="shared" si="15"/>
        <v>124361.19</v>
      </c>
      <c r="D18" s="8">
        <f t="shared" si="15"/>
        <v>33354135.999999996</v>
      </c>
      <c r="E18" s="8">
        <f t="shared" si="15"/>
        <v>29038.809999999998</v>
      </c>
      <c r="F18" s="8">
        <f t="shared" si="15"/>
        <v>0</v>
      </c>
      <c r="G18" s="8">
        <f t="shared" si="15"/>
        <v>28167.645700000001</v>
      </c>
      <c r="H18" s="8">
        <f t="shared" si="15"/>
        <v>18879679.1281</v>
      </c>
      <c r="I18" s="8">
        <f t="shared" si="15"/>
        <v>120630.35430000001</v>
      </c>
      <c r="J18" s="8">
        <f t="shared" si="15"/>
        <v>19000309.4824</v>
      </c>
      <c r="K18" s="8">
        <f t="shared" si="15"/>
        <v>1032.3499999999999</v>
      </c>
      <c r="L18" s="8">
        <f t="shared" si="15"/>
        <v>19001341.832400002</v>
      </c>
      <c r="M18" s="8">
        <f t="shared" si="15"/>
        <v>878886.38</v>
      </c>
      <c r="N18" s="8">
        <f t="shared" si="15"/>
        <v>8385.34</v>
      </c>
      <c r="O18" s="8">
        <f t="shared" si="15"/>
        <v>860655.6884000001</v>
      </c>
      <c r="T18" s="11">
        <f>SUM(T6:T17)</f>
        <v>393761.98</v>
      </c>
      <c r="U18" s="11">
        <f>SUM(U6:U17)</f>
        <v>906.6</v>
      </c>
      <c r="V18" s="8">
        <f t="shared" si="3"/>
        <v>394668.57999999996</v>
      </c>
      <c r="Y18" s="11">
        <f>SUM(Y6:Y17)</f>
        <v>1119990.1399999999</v>
      </c>
      <c r="Z18" s="11">
        <f>SUM(Z6:Z17)</f>
        <v>845.02937099999997</v>
      </c>
      <c r="AA18" s="11">
        <f>SUM(AA6:AA17)</f>
        <v>25819.670651999997</v>
      </c>
      <c r="AB18" s="8">
        <f>Z18+AA18</f>
        <v>26664.700022999998</v>
      </c>
    </row>
    <row r="19" spans="1:1024" ht="14.4">
      <c r="J19" s="9"/>
      <c r="K19" s="9"/>
      <c r="L19" s="9"/>
    </row>
    <row r="20" spans="1:1024" ht="14.4">
      <c r="C20" s="3">
        <f>C6*0.03</f>
        <v>1167.4685999999999</v>
      </c>
      <c r="D20" s="3">
        <f>D16*0.03</f>
        <v>0</v>
      </c>
      <c r="E20" s="3">
        <f>M18/B18</f>
        <v>2.5654464904178938E-2</v>
      </c>
      <c r="G20" s="3">
        <f>G16*0.03</f>
        <v>0</v>
      </c>
      <c r="J20" s="9">
        <f>13294818.44-13292817</f>
        <v>2001.4399999994785</v>
      </c>
      <c r="K20" s="9"/>
      <c r="L20" s="9"/>
      <c r="M20" s="3">
        <f>M6*0.03</f>
        <v>13546.686599999999</v>
      </c>
      <c r="O20" s="3">
        <f>101256.36-101255.58</f>
        <v>0.77999999999883585</v>
      </c>
      <c r="S20" s="3" t="s">
        <v>48</v>
      </c>
      <c r="T20" s="3">
        <v>323451.90999999997</v>
      </c>
    </row>
    <row r="21" spans="1:1024" ht="14.4">
      <c r="B21" s="3">
        <f>B119*0.2</f>
        <v>10633.852000000001</v>
      </c>
      <c r="C21" s="3">
        <f>B20+B21+C20</f>
        <v>11801.320600000001</v>
      </c>
      <c r="J21" s="9"/>
      <c r="K21" s="9"/>
      <c r="L21" s="9"/>
      <c r="P21" s="3">
        <f>9962239.47*0.03</f>
        <v>298867.18410000001</v>
      </c>
    </row>
    <row r="22" spans="1:1024" ht="18">
      <c r="A22" s="372" t="s">
        <v>49</v>
      </c>
      <c r="B22" s="372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</row>
    <row r="23" spans="1:1024" ht="31.5" customHeight="1">
      <c r="A23" s="5"/>
      <c r="B23" s="373" t="s">
        <v>50</v>
      </c>
      <c r="C23" s="373"/>
      <c r="D23" s="373"/>
      <c r="E23" s="373" t="s">
        <v>51</v>
      </c>
      <c r="F23" s="373"/>
      <c r="G23" s="373"/>
      <c r="H23" s="373" t="s">
        <v>52</v>
      </c>
      <c r="I23" s="373"/>
      <c r="J23" s="373"/>
      <c r="K23" s="373"/>
      <c r="L23" s="373"/>
      <c r="M23" s="373" t="s">
        <v>53</v>
      </c>
      <c r="N23" s="373"/>
      <c r="O23" s="373"/>
      <c r="P23" s="20"/>
      <c r="Q23" s="20"/>
      <c r="R23" s="20"/>
      <c r="S23" s="20"/>
      <c r="T23" s="20"/>
      <c r="U23" s="20"/>
      <c r="V23" s="2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</row>
    <row r="24" spans="1:1024" ht="15" customHeight="1">
      <c r="A24" s="21"/>
      <c r="B24" s="373" t="s">
        <v>54</v>
      </c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 t="s">
        <v>55</v>
      </c>
      <c r="N24" s="373"/>
      <c r="O24" s="373"/>
      <c r="P24" s="20"/>
      <c r="Q24" s="20"/>
      <c r="R24" s="20"/>
      <c r="S24" s="20"/>
      <c r="T24" s="20"/>
      <c r="U24" s="20"/>
      <c r="V24" s="20"/>
      <c r="W24" s="5"/>
      <c r="X24" s="5"/>
      <c r="Y24" s="5" t="s">
        <v>56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</row>
    <row r="25" spans="1:1024" ht="14.4">
      <c r="A25" s="2" t="s">
        <v>9</v>
      </c>
      <c r="B25" s="22" t="s">
        <v>10</v>
      </c>
      <c r="C25" s="23" t="s">
        <v>11</v>
      </c>
      <c r="D25" s="24" t="s">
        <v>12</v>
      </c>
      <c r="E25" s="23" t="s">
        <v>10</v>
      </c>
      <c r="F25" s="23" t="s">
        <v>11</v>
      </c>
      <c r="G25" s="24" t="s">
        <v>12</v>
      </c>
      <c r="H25" s="23" t="s">
        <v>10</v>
      </c>
      <c r="I25" s="23" t="s">
        <v>11</v>
      </c>
      <c r="J25" s="23" t="s">
        <v>13</v>
      </c>
      <c r="K25" s="23" t="s">
        <v>14</v>
      </c>
      <c r="L25" s="25" t="s">
        <v>12</v>
      </c>
      <c r="M25" s="23" t="s">
        <v>10</v>
      </c>
      <c r="N25" s="23" t="s">
        <v>11</v>
      </c>
      <c r="O25" s="26" t="s">
        <v>12</v>
      </c>
      <c r="R25" s="27"/>
      <c r="U25" s="3">
        <v>32475.48</v>
      </c>
      <c r="X25" s="2" t="s">
        <v>25</v>
      </c>
      <c r="Y25" s="2">
        <v>0</v>
      </c>
    </row>
    <row r="26" spans="1:1024" ht="14.4">
      <c r="A26" s="2" t="s">
        <v>25</v>
      </c>
      <c r="B26" s="28">
        <v>3605842.15</v>
      </c>
      <c r="C26" s="29">
        <v>2085.27</v>
      </c>
      <c r="D26" s="30">
        <f t="shared" ref="D26:D38" si="16">B26+C26</f>
        <v>3607927.42</v>
      </c>
      <c r="E26" s="29"/>
      <c r="F26" s="29"/>
      <c r="G26" s="30">
        <f t="shared" ref="G26:G38" si="17">E26+F26</f>
        <v>0</v>
      </c>
      <c r="H26" s="29">
        <f t="shared" ref="H26:H38" si="18">B26+E26</f>
        <v>3605842.15</v>
      </c>
      <c r="I26" s="29">
        <f t="shared" ref="I26:I38" si="19">C26+F26</f>
        <v>2085.27</v>
      </c>
      <c r="J26" s="31">
        <f t="shared" ref="J26:J38" si="20">H26+I26</f>
        <v>3607927.42</v>
      </c>
      <c r="K26" s="31"/>
      <c r="L26" s="32">
        <f>J26+K26</f>
        <v>3607927.42</v>
      </c>
      <c r="M26" s="33">
        <v>3271813.58</v>
      </c>
      <c r="N26" s="3">
        <v>8427.1</v>
      </c>
      <c r="O26" s="34">
        <f t="shared" ref="O26:O38" si="21">M26+N26</f>
        <v>3280240.68</v>
      </c>
      <c r="P26" s="35">
        <f t="shared" ref="P26:P35" si="22">M26/B26</f>
        <v>0.90736461661251588</v>
      </c>
      <c r="Q26" s="3">
        <f>2927615.36-M26</f>
        <v>-344198.2200000002</v>
      </c>
      <c r="X26" s="2" t="s">
        <v>27</v>
      </c>
    </row>
    <row r="27" spans="1:1024" ht="14.4">
      <c r="A27" s="2" t="s">
        <v>27</v>
      </c>
      <c r="B27" s="33">
        <v>3654937.97</v>
      </c>
      <c r="C27" s="3">
        <v>1026.27</v>
      </c>
      <c r="D27" s="36">
        <f t="shared" si="16"/>
        <v>3655964.24</v>
      </c>
      <c r="G27" s="36">
        <f t="shared" si="17"/>
        <v>0</v>
      </c>
      <c r="H27" s="3">
        <f t="shared" si="18"/>
        <v>3654937.97</v>
      </c>
      <c r="I27" s="3">
        <f t="shared" si="19"/>
        <v>1026.27</v>
      </c>
      <c r="J27" s="11">
        <f t="shared" si="20"/>
        <v>3655964.24</v>
      </c>
      <c r="K27" s="11"/>
      <c r="L27" s="34">
        <f>J27+K27</f>
        <v>3655964.24</v>
      </c>
      <c r="M27" s="33">
        <v>3407476.42</v>
      </c>
      <c r="N27" s="10">
        <v>721.45</v>
      </c>
      <c r="O27" s="34">
        <f t="shared" si="21"/>
        <v>3408197.87</v>
      </c>
      <c r="P27" s="35">
        <f t="shared" si="22"/>
        <v>0.93229391250106486</v>
      </c>
      <c r="Q27" s="3">
        <f>O27*0.85</f>
        <v>2896968.1894999999</v>
      </c>
      <c r="T27" s="3">
        <v>555843.18999999994</v>
      </c>
      <c r="X27" s="2" t="s">
        <v>30</v>
      </c>
    </row>
    <row r="28" spans="1:1024" ht="14.4">
      <c r="A28" s="2" t="s">
        <v>30</v>
      </c>
      <c r="B28" s="37">
        <v>2124459.4</v>
      </c>
      <c r="D28" s="36">
        <f t="shared" si="16"/>
        <v>2124459.4</v>
      </c>
      <c r="E28" s="3">
        <v>0</v>
      </c>
      <c r="G28" s="36">
        <f t="shared" si="17"/>
        <v>0</v>
      </c>
      <c r="H28" s="3">
        <f t="shared" si="18"/>
        <v>2124459.4</v>
      </c>
      <c r="I28" s="3">
        <f t="shared" si="19"/>
        <v>0</v>
      </c>
      <c r="J28" s="11">
        <f t="shared" si="20"/>
        <v>2124459.4</v>
      </c>
      <c r="K28" s="11"/>
      <c r="L28" s="34">
        <f>J28+K28</f>
        <v>2124459.4</v>
      </c>
      <c r="M28" s="15">
        <v>1955565.78</v>
      </c>
      <c r="O28" s="34">
        <f t="shared" si="21"/>
        <v>1955565.78</v>
      </c>
      <c r="P28" s="35">
        <f t="shared" si="22"/>
        <v>0.92050042471981353</v>
      </c>
      <c r="Q28" s="3">
        <f>O28*0.85</f>
        <v>1662230.9129999999</v>
      </c>
      <c r="T28" s="3">
        <v>370337.28000000003</v>
      </c>
      <c r="X28" s="2" t="s">
        <v>33</v>
      </c>
    </row>
    <row r="29" spans="1:1024" ht="14.4">
      <c r="A29" s="2" t="s">
        <v>33</v>
      </c>
      <c r="B29" s="33"/>
      <c r="D29" s="36">
        <f t="shared" si="16"/>
        <v>0</v>
      </c>
      <c r="G29" s="36">
        <f t="shared" si="17"/>
        <v>0</v>
      </c>
      <c r="H29" s="3">
        <f t="shared" si="18"/>
        <v>0</v>
      </c>
      <c r="I29" s="3">
        <f t="shared" si="19"/>
        <v>0</v>
      </c>
      <c r="J29" s="11">
        <f t="shared" si="20"/>
        <v>0</v>
      </c>
      <c r="K29" s="11"/>
      <c r="L29" s="34">
        <f>J29+K29</f>
        <v>0</v>
      </c>
      <c r="M29" s="33"/>
      <c r="O29" s="34">
        <f t="shared" si="21"/>
        <v>0</v>
      </c>
      <c r="P29" s="35" t="e">
        <f t="shared" si="22"/>
        <v>#DIV/0!</v>
      </c>
      <c r="Q29" s="3">
        <f>O29*0.85</f>
        <v>0</v>
      </c>
      <c r="T29" s="3">
        <v>132</v>
      </c>
      <c r="X29" s="2" t="s">
        <v>35</v>
      </c>
    </row>
    <row r="30" spans="1:1024" ht="14.4">
      <c r="A30" s="2" t="s">
        <v>35</v>
      </c>
      <c r="B30" s="33"/>
      <c r="D30" s="36">
        <f t="shared" si="16"/>
        <v>0</v>
      </c>
      <c r="G30" s="36">
        <f t="shared" si="17"/>
        <v>0</v>
      </c>
      <c r="H30" s="3">
        <f t="shared" si="18"/>
        <v>0</v>
      </c>
      <c r="I30" s="3">
        <f t="shared" si="19"/>
        <v>0</v>
      </c>
      <c r="J30" s="11">
        <f t="shared" si="20"/>
        <v>0</v>
      </c>
      <c r="K30" s="11"/>
      <c r="L30" s="34">
        <f>J30+K30</f>
        <v>0</v>
      </c>
      <c r="M30" s="33"/>
      <c r="O30" s="34">
        <f t="shared" si="21"/>
        <v>0</v>
      </c>
      <c r="P30" s="35" t="e">
        <f t="shared" si="22"/>
        <v>#DIV/0!</v>
      </c>
      <c r="Q30" s="3">
        <f>O30*0.85</f>
        <v>0</v>
      </c>
      <c r="T30" s="3">
        <v>264.01</v>
      </c>
      <c r="X30" s="2" t="s">
        <v>37</v>
      </c>
    </row>
    <row r="31" spans="1:1024" ht="14.4">
      <c r="A31" s="2" t="s">
        <v>37</v>
      </c>
      <c r="B31" s="33"/>
      <c r="D31" s="36">
        <f t="shared" si="16"/>
        <v>0</v>
      </c>
      <c r="G31" s="36">
        <f t="shared" si="17"/>
        <v>0</v>
      </c>
      <c r="H31" s="3">
        <f t="shared" si="18"/>
        <v>0</v>
      </c>
      <c r="I31" s="3">
        <f t="shared" si="19"/>
        <v>0</v>
      </c>
      <c r="J31" s="11">
        <f t="shared" si="20"/>
        <v>0</v>
      </c>
      <c r="K31" s="11"/>
      <c r="L31" s="34"/>
      <c r="M31" s="10"/>
      <c r="O31" s="34">
        <f t="shared" si="21"/>
        <v>0</v>
      </c>
      <c r="P31" s="35" t="e">
        <f t="shared" si="22"/>
        <v>#DIV/0!</v>
      </c>
      <c r="T31" s="3">
        <v>3004</v>
      </c>
      <c r="X31" s="2" t="s">
        <v>39</v>
      </c>
      <c r="AA31" s="2">
        <f>462263.53+562.7+3730.74</f>
        <v>466556.97000000003</v>
      </c>
    </row>
    <row r="32" spans="1:1024" ht="14.4">
      <c r="A32" s="2" t="s">
        <v>39</v>
      </c>
      <c r="B32" s="33"/>
      <c r="D32" s="36">
        <f t="shared" si="16"/>
        <v>0</v>
      </c>
      <c r="G32" s="36">
        <f t="shared" si="17"/>
        <v>0</v>
      </c>
      <c r="H32" s="3">
        <f t="shared" si="18"/>
        <v>0</v>
      </c>
      <c r="I32" s="3">
        <f t="shared" si="19"/>
        <v>0</v>
      </c>
      <c r="J32" s="11">
        <f t="shared" si="20"/>
        <v>0</v>
      </c>
      <c r="K32" s="11"/>
      <c r="L32" s="34">
        <f t="shared" ref="L32:L38" si="23">J32+K32</f>
        <v>0</v>
      </c>
      <c r="M32" s="10"/>
      <c r="O32" s="34">
        <f t="shared" si="21"/>
        <v>0</v>
      </c>
      <c r="P32" s="35" t="e">
        <f t="shared" si="22"/>
        <v>#DIV/0!</v>
      </c>
      <c r="Q32" s="3">
        <f>9800/4</f>
        <v>2450</v>
      </c>
      <c r="S32" s="3">
        <f>2200/20</f>
        <v>110</v>
      </c>
      <c r="T32" s="3">
        <f>SUM(T27:T31)</f>
        <v>929580.48</v>
      </c>
      <c r="X32" s="2" t="s">
        <v>40</v>
      </c>
    </row>
    <row r="33" spans="1:1024" ht="14.4">
      <c r="A33" s="2" t="s">
        <v>40</v>
      </c>
      <c r="B33" s="33"/>
      <c r="D33" s="36">
        <f t="shared" si="16"/>
        <v>0</v>
      </c>
      <c r="G33" s="36">
        <f t="shared" si="17"/>
        <v>0</v>
      </c>
      <c r="H33" s="3">
        <f t="shared" si="18"/>
        <v>0</v>
      </c>
      <c r="I33" s="3">
        <f t="shared" si="19"/>
        <v>0</v>
      </c>
      <c r="J33" s="11">
        <f t="shared" si="20"/>
        <v>0</v>
      </c>
      <c r="K33" s="11"/>
      <c r="L33" s="34">
        <f t="shared" si="23"/>
        <v>0</v>
      </c>
      <c r="M33" s="33"/>
      <c r="O33" s="34">
        <f t="shared" si="21"/>
        <v>0</v>
      </c>
      <c r="P33" s="35" t="e">
        <f t="shared" si="22"/>
        <v>#DIV/0!</v>
      </c>
    </row>
    <row r="34" spans="1:1024" ht="14.4">
      <c r="A34" s="2" t="s">
        <v>41</v>
      </c>
      <c r="B34" s="33"/>
      <c r="D34" s="36">
        <f t="shared" si="16"/>
        <v>0</v>
      </c>
      <c r="G34" s="36">
        <f t="shared" si="17"/>
        <v>0</v>
      </c>
      <c r="H34" s="3">
        <f t="shared" si="18"/>
        <v>0</v>
      </c>
      <c r="I34" s="3">
        <f t="shared" si="19"/>
        <v>0</v>
      </c>
      <c r="J34" s="11">
        <f t="shared" si="20"/>
        <v>0</v>
      </c>
      <c r="K34" s="11"/>
      <c r="L34" s="34">
        <f t="shared" si="23"/>
        <v>0</v>
      </c>
      <c r="M34" s="33"/>
      <c r="O34" s="34">
        <f t="shared" si="21"/>
        <v>0</v>
      </c>
      <c r="P34" s="35" t="e">
        <f t="shared" si="22"/>
        <v>#DIV/0!</v>
      </c>
    </row>
    <row r="35" spans="1:1024" ht="14.4">
      <c r="A35" s="2" t="s">
        <v>43</v>
      </c>
      <c r="B35" s="33"/>
      <c r="D35" s="36">
        <f t="shared" si="16"/>
        <v>0</v>
      </c>
      <c r="G35" s="36">
        <f t="shared" si="17"/>
        <v>0</v>
      </c>
      <c r="H35" s="3">
        <f t="shared" si="18"/>
        <v>0</v>
      </c>
      <c r="I35" s="3">
        <f t="shared" si="19"/>
        <v>0</v>
      </c>
      <c r="J35" s="11">
        <f t="shared" si="20"/>
        <v>0</v>
      </c>
      <c r="K35" s="11"/>
      <c r="L35" s="34">
        <f t="shared" si="23"/>
        <v>0</v>
      </c>
      <c r="M35" s="33"/>
      <c r="O35" s="34">
        <f t="shared" si="21"/>
        <v>0</v>
      </c>
      <c r="P35" s="35" t="e">
        <f t="shared" si="22"/>
        <v>#DIV/0!</v>
      </c>
      <c r="Q35" s="3" t="s">
        <v>57</v>
      </c>
      <c r="T35" s="3">
        <f>86*431.32</f>
        <v>37093.519999999997</v>
      </c>
    </row>
    <row r="36" spans="1:1024" ht="14.4">
      <c r="A36" s="2" t="s">
        <v>45</v>
      </c>
      <c r="B36" s="33"/>
      <c r="D36" s="36">
        <f t="shared" si="16"/>
        <v>0</v>
      </c>
      <c r="G36" s="36">
        <f t="shared" si="17"/>
        <v>0</v>
      </c>
      <c r="H36" s="3">
        <f t="shared" si="18"/>
        <v>0</v>
      </c>
      <c r="I36" s="3">
        <f t="shared" si="19"/>
        <v>0</v>
      </c>
      <c r="J36" s="11">
        <f t="shared" si="20"/>
        <v>0</v>
      </c>
      <c r="K36" s="11"/>
      <c r="L36" s="34">
        <f t="shared" si="23"/>
        <v>0</v>
      </c>
      <c r="M36" s="33"/>
      <c r="O36" s="34">
        <f t="shared" si="21"/>
        <v>0</v>
      </c>
      <c r="Q36" s="3">
        <f>70/170</f>
        <v>0.41176470588235292</v>
      </c>
    </row>
    <row r="37" spans="1:1024" ht="14.4">
      <c r="A37" s="38" t="s">
        <v>46</v>
      </c>
      <c r="B37" s="39"/>
      <c r="C37" s="27"/>
      <c r="D37" s="40">
        <f t="shared" si="16"/>
        <v>0</v>
      </c>
      <c r="E37" s="27"/>
      <c r="F37" s="27"/>
      <c r="G37" s="40">
        <f t="shared" si="17"/>
        <v>0</v>
      </c>
      <c r="H37" s="27">
        <f t="shared" si="18"/>
        <v>0</v>
      </c>
      <c r="I37" s="27">
        <f t="shared" si="19"/>
        <v>0</v>
      </c>
      <c r="J37" s="41">
        <f t="shared" si="20"/>
        <v>0</v>
      </c>
      <c r="K37" s="41"/>
      <c r="L37" s="42">
        <f t="shared" si="23"/>
        <v>0</v>
      </c>
      <c r="M37" s="39"/>
      <c r="N37" s="27"/>
      <c r="O37" s="42">
        <f t="shared" si="21"/>
        <v>0</v>
      </c>
    </row>
    <row r="38" spans="1:1024" ht="14.4">
      <c r="A38" s="19" t="s">
        <v>47</v>
      </c>
      <c r="B38" s="43">
        <f>SUM(B26:B37)</f>
        <v>9385239.5199999996</v>
      </c>
      <c r="C38" s="41"/>
      <c r="D38" s="42">
        <f t="shared" si="16"/>
        <v>9385239.5199999996</v>
      </c>
      <c r="E38" s="41">
        <f>SUM(E26:E37)</f>
        <v>0</v>
      </c>
      <c r="F38" s="41">
        <f>SUM(F26:F37)</f>
        <v>0</v>
      </c>
      <c r="G38" s="41">
        <f t="shared" si="17"/>
        <v>0</v>
      </c>
      <c r="H38" s="41">
        <f t="shared" si="18"/>
        <v>9385239.5199999996</v>
      </c>
      <c r="I38" s="41">
        <f t="shared" si="19"/>
        <v>0</v>
      </c>
      <c r="J38" s="41">
        <f t="shared" si="20"/>
        <v>9385239.5199999996</v>
      </c>
      <c r="K38" s="41"/>
      <c r="L38" s="42">
        <f t="shared" si="23"/>
        <v>9385239.5199999996</v>
      </c>
      <c r="M38" s="44">
        <f>SUM(M26:M37)</f>
        <v>8634855.7799999993</v>
      </c>
      <c r="N38" s="11">
        <f>SUM(N26:N37)</f>
        <v>9148.5500000000011</v>
      </c>
      <c r="O38" s="41">
        <f t="shared" si="21"/>
        <v>8644004.3300000001</v>
      </c>
      <c r="P38" s="33"/>
      <c r="AH38" s="13">
        <f>AH45-AE45-J45</f>
        <v>28033</v>
      </c>
    </row>
    <row r="39" spans="1:1024" ht="14.4">
      <c r="M39" s="29"/>
      <c r="N39" s="29"/>
    </row>
    <row r="41" spans="1:1024" ht="18">
      <c r="A41" s="370" t="s">
        <v>58</v>
      </c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0"/>
      <c r="AF41" s="370"/>
      <c r="AG41" s="370"/>
      <c r="AH41" s="370"/>
    </row>
    <row r="42" spans="1:1024" ht="31.5" customHeight="1">
      <c r="A42" s="5"/>
      <c r="B42" s="374" t="s">
        <v>59</v>
      </c>
      <c r="C42" s="374"/>
      <c r="D42" s="374"/>
      <c r="E42" s="374" t="s">
        <v>60</v>
      </c>
      <c r="F42" s="374"/>
      <c r="G42" s="374"/>
      <c r="H42" s="374" t="s">
        <v>61</v>
      </c>
      <c r="I42" s="374"/>
      <c r="J42" s="374"/>
      <c r="K42" s="374" t="s">
        <v>62</v>
      </c>
      <c r="L42" s="374"/>
      <c r="M42" s="374"/>
      <c r="N42" s="374" t="s">
        <v>63</v>
      </c>
      <c r="O42" s="374"/>
      <c r="P42" s="374"/>
      <c r="Q42" s="374" t="s">
        <v>64</v>
      </c>
      <c r="R42" s="374"/>
      <c r="S42" s="374"/>
      <c r="T42" s="374" t="s">
        <v>65</v>
      </c>
      <c r="U42" s="374"/>
      <c r="V42" s="374"/>
      <c r="W42" s="374" t="s">
        <v>66</v>
      </c>
      <c r="X42" s="374"/>
      <c r="Y42" s="374"/>
      <c r="Z42" s="374" t="s">
        <v>67</v>
      </c>
      <c r="AA42" s="374"/>
      <c r="AB42" s="374"/>
      <c r="AC42" s="374" t="s">
        <v>68</v>
      </c>
      <c r="AD42" s="374"/>
      <c r="AE42" s="374"/>
      <c r="AF42" s="374" t="s">
        <v>69</v>
      </c>
      <c r="AG42" s="374"/>
      <c r="AH42" s="374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</row>
    <row r="43" spans="1:1024" ht="15" customHeight="1">
      <c r="A43" s="45"/>
      <c r="B43" s="375" t="s">
        <v>70</v>
      </c>
      <c r="C43" s="375"/>
      <c r="D43" s="375"/>
      <c r="E43" s="375" t="s">
        <v>71</v>
      </c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6">
        <v>1611010116</v>
      </c>
      <c r="U43" s="376"/>
      <c r="V43" s="376"/>
      <c r="W43" s="376">
        <v>1611010199</v>
      </c>
      <c r="X43" s="376"/>
      <c r="Y43" s="376"/>
      <c r="Z43" s="376"/>
      <c r="AA43" s="376"/>
      <c r="AB43" s="376"/>
      <c r="AC43" s="376"/>
      <c r="AD43" s="376"/>
      <c r="AE43" s="376"/>
      <c r="AF43" s="377"/>
      <c r="AG43" s="377"/>
      <c r="AH43" s="377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</row>
    <row r="44" spans="1:1024" ht="14.4">
      <c r="A44" s="46" t="s">
        <v>9</v>
      </c>
      <c r="B44" s="47" t="s">
        <v>10</v>
      </c>
      <c r="C44" s="47" t="s">
        <v>11</v>
      </c>
      <c r="D44" s="47" t="s">
        <v>12</v>
      </c>
      <c r="E44" s="47" t="s">
        <v>10</v>
      </c>
      <c r="F44" s="47" t="s">
        <v>11</v>
      </c>
      <c r="G44" s="47" t="s">
        <v>12</v>
      </c>
      <c r="H44" s="47" t="s">
        <v>10</v>
      </c>
      <c r="I44" s="47" t="s">
        <v>11</v>
      </c>
      <c r="J44" s="47" t="s">
        <v>12</v>
      </c>
      <c r="K44" s="47" t="s">
        <v>10</v>
      </c>
      <c r="L44" s="47" t="s">
        <v>11</v>
      </c>
      <c r="M44" s="47" t="s">
        <v>12</v>
      </c>
      <c r="N44" s="47" t="s">
        <v>10</v>
      </c>
      <c r="O44" s="47" t="s">
        <v>11</v>
      </c>
      <c r="P44" s="47" t="s">
        <v>12</v>
      </c>
      <c r="Q44" s="47" t="s">
        <v>10</v>
      </c>
      <c r="R44" s="47" t="s">
        <v>11</v>
      </c>
      <c r="S44" s="47" t="s">
        <v>12</v>
      </c>
      <c r="T44" s="47" t="s">
        <v>10</v>
      </c>
      <c r="U44" s="47" t="s">
        <v>11</v>
      </c>
      <c r="V44" s="47" t="s">
        <v>12</v>
      </c>
      <c r="W44" s="47" t="s">
        <v>10</v>
      </c>
      <c r="X44" s="47" t="s">
        <v>11</v>
      </c>
      <c r="Y44" s="47" t="s">
        <v>12</v>
      </c>
      <c r="Z44" s="47" t="s">
        <v>10</v>
      </c>
      <c r="AA44" s="47" t="s">
        <v>11</v>
      </c>
      <c r="AB44" s="47" t="s">
        <v>12</v>
      </c>
      <c r="AC44" s="47" t="s">
        <v>10</v>
      </c>
      <c r="AD44" s="47" t="s">
        <v>11</v>
      </c>
      <c r="AE44" s="47" t="s">
        <v>12</v>
      </c>
      <c r="AF44" s="48" t="s">
        <v>10</v>
      </c>
      <c r="AG44" s="48" t="s">
        <v>11</v>
      </c>
      <c r="AH44" s="48" t="s">
        <v>12</v>
      </c>
    </row>
    <row r="45" spans="1:1024" ht="14.4">
      <c r="A45" s="49" t="s">
        <v>25</v>
      </c>
      <c r="B45" s="50">
        <v>0</v>
      </c>
      <c r="C45" s="50">
        <v>0</v>
      </c>
      <c r="D45" s="51">
        <f t="shared" ref="D45:D57" si="24">B45+C45</f>
        <v>0</v>
      </c>
      <c r="E45" s="50">
        <v>0</v>
      </c>
      <c r="F45" s="50">
        <v>0</v>
      </c>
      <c r="G45" s="51">
        <f t="shared" ref="G45:G57" si="25">E45+F45</f>
        <v>0</v>
      </c>
      <c r="H45" s="50">
        <v>0</v>
      </c>
      <c r="I45" s="50">
        <v>0</v>
      </c>
      <c r="J45" s="51">
        <f t="shared" ref="J45:J57" si="26">H45+I45</f>
        <v>0</v>
      </c>
      <c r="K45" s="50">
        <v>0</v>
      </c>
      <c r="L45" s="50">
        <v>0</v>
      </c>
      <c r="M45" s="51">
        <f t="shared" ref="M45:M57" si="27">K45+L45</f>
        <v>0</v>
      </c>
      <c r="N45" s="50">
        <v>28033</v>
      </c>
      <c r="O45" s="50"/>
      <c r="P45" s="51">
        <f t="shared" ref="P45:P57" si="28">N45+O45</f>
        <v>28033</v>
      </c>
      <c r="Q45" s="51">
        <f>E45+H45+K45+N45</f>
        <v>28033</v>
      </c>
      <c r="R45" s="51">
        <f>F45+I45+L45+O45</f>
        <v>0</v>
      </c>
      <c r="S45" s="51">
        <f t="shared" ref="S45:S56" si="29">Q45+R45</f>
        <v>28033</v>
      </c>
      <c r="T45" s="50">
        <v>0</v>
      </c>
      <c r="U45" s="50">
        <v>0</v>
      </c>
      <c r="V45" s="51">
        <f t="shared" ref="V45:V56" si="30">T45+U45</f>
        <v>0</v>
      </c>
      <c r="W45" s="50">
        <v>0</v>
      </c>
      <c r="X45" s="50">
        <v>0</v>
      </c>
      <c r="Y45" s="51">
        <f t="shared" ref="Y45:Y56" si="31">W45+X45</f>
        <v>0</v>
      </c>
      <c r="Z45" s="50">
        <v>2066.61</v>
      </c>
      <c r="AA45" s="50">
        <v>0</v>
      </c>
      <c r="AB45" s="51">
        <f t="shared" ref="AB45:AB57" si="32">Z45+AA45</f>
        <v>2066.61</v>
      </c>
      <c r="AC45" s="50">
        <f>W45+Z45</f>
        <v>2066.61</v>
      </c>
      <c r="AD45" s="50">
        <f>X45+AA45</f>
        <v>0</v>
      </c>
      <c r="AE45" s="51">
        <f t="shared" ref="AE45:AE57" si="33">AC45+AD45</f>
        <v>2066.61</v>
      </c>
      <c r="AF45" s="50">
        <f>B45+Q45+T45+AC45</f>
        <v>30099.61</v>
      </c>
      <c r="AG45" s="50">
        <f>C45+R45+U45+AD45</f>
        <v>0</v>
      </c>
      <c r="AH45" s="51">
        <f t="shared" ref="AH45:AH57" si="34">AF45+AG45</f>
        <v>30099.61</v>
      </c>
    </row>
    <row r="46" spans="1:1024" ht="14.4">
      <c r="A46" s="49" t="s">
        <v>27</v>
      </c>
      <c r="B46" s="50"/>
      <c r="C46" s="50"/>
      <c r="D46" s="51">
        <f t="shared" si="24"/>
        <v>0</v>
      </c>
      <c r="E46" s="50"/>
      <c r="F46" s="50"/>
      <c r="G46" s="51">
        <f t="shared" si="25"/>
        <v>0</v>
      </c>
      <c r="H46" s="50"/>
      <c r="I46" s="50"/>
      <c r="J46" s="51">
        <f t="shared" si="26"/>
        <v>0</v>
      </c>
      <c r="K46" s="50"/>
      <c r="L46" s="50">
        <v>0</v>
      </c>
      <c r="M46" s="51">
        <f t="shared" si="27"/>
        <v>0</v>
      </c>
      <c r="N46" s="50">
        <v>43674.41</v>
      </c>
      <c r="O46" s="50"/>
      <c r="P46" s="51">
        <f t="shared" si="28"/>
        <v>43674.41</v>
      </c>
      <c r="Q46" s="51">
        <f>E46+H46+K46+N46</f>
        <v>43674.41</v>
      </c>
      <c r="R46" s="51">
        <f>F46+I46+L46+O46</f>
        <v>0</v>
      </c>
      <c r="S46" s="51">
        <f t="shared" si="29"/>
        <v>43674.41</v>
      </c>
      <c r="T46" s="50">
        <v>0</v>
      </c>
      <c r="U46" s="50">
        <v>0</v>
      </c>
      <c r="V46" s="51">
        <f t="shared" si="30"/>
        <v>0</v>
      </c>
      <c r="W46" s="10">
        <v>32916.080000000002</v>
      </c>
      <c r="X46" s="50"/>
      <c r="Y46" s="51">
        <f t="shared" si="31"/>
        <v>32916.080000000002</v>
      </c>
      <c r="Z46" s="10">
        <v>2121.2199999999998</v>
      </c>
      <c r="AA46" s="50"/>
      <c r="AB46" s="51">
        <f t="shared" si="32"/>
        <v>2121.2199999999998</v>
      </c>
      <c r="AC46" s="50"/>
      <c r="AD46" s="50"/>
      <c r="AE46" s="51">
        <f t="shared" si="33"/>
        <v>0</v>
      </c>
      <c r="AF46" s="50"/>
      <c r="AG46" s="50"/>
      <c r="AH46" s="51">
        <f t="shared" si="34"/>
        <v>0</v>
      </c>
    </row>
    <row r="47" spans="1:1024" ht="14.4">
      <c r="A47" s="49" t="s">
        <v>30</v>
      </c>
      <c r="B47" s="50"/>
      <c r="C47" s="50"/>
      <c r="D47" s="51">
        <f t="shared" si="24"/>
        <v>0</v>
      </c>
      <c r="E47" s="50"/>
      <c r="F47" s="50"/>
      <c r="G47" s="51">
        <f t="shared" si="25"/>
        <v>0</v>
      </c>
      <c r="H47" s="50"/>
      <c r="I47" s="50"/>
      <c r="J47" s="51">
        <f t="shared" si="26"/>
        <v>0</v>
      </c>
      <c r="K47" s="50"/>
      <c r="L47" s="50"/>
      <c r="M47" s="51">
        <f t="shared" si="27"/>
        <v>0</v>
      </c>
      <c r="N47" s="52">
        <v>22533.75</v>
      </c>
      <c r="O47" s="50"/>
      <c r="P47" s="51">
        <f t="shared" si="28"/>
        <v>22533.75</v>
      </c>
      <c r="Q47" s="51">
        <f t="shared" ref="Q47:Q56" si="35">B47+E47+H47+K47+N47</f>
        <v>22533.75</v>
      </c>
      <c r="R47" s="51">
        <f t="shared" ref="R47:R56" si="36">C47+F47+I47+L47+O47</f>
        <v>0</v>
      </c>
      <c r="S47" s="51">
        <f t="shared" si="29"/>
        <v>22533.75</v>
      </c>
      <c r="T47" s="50">
        <v>0</v>
      </c>
      <c r="U47" s="50">
        <v>0</v>
      </c>
      <c r="V47" s="51">
        <f t="shared" si="30"/>
        <v>0</v>
      </c>
      <c r="W47" s="50">
        <v>30100.240000000002</v>
      </c>
      <c r="X47" s="50"/>
      <c r="Y47" s="51">
        <f t="shared" si="31"/>
        <v>30100.240000000002</v>
      </c>
      <c r="Z47" s="52">
        <v>1199.8900000000001</v>
      </c>
      <c r="AA47" s="50"/>
      <c r="AB47" s="51">
        <f t="shared" si="32"/>
        <v>1199.8900000000001</v>
      </c>
      <c r="AC47" s="50"/>
      <c r="AD47" s="50"/>
      <c r="AE47" s="51">
        <f t="shared" si="33"/>
        <v>0</v>
      </c>
      <c r="AF47" s="50"/>
      <c r="AG47" s="50"/>
      <c r="AH47" s="51">
        <f t="shared" si="34"/>
        <v>0</v>
      </c>
    </row>
    <row r="48" spans="1:1024" ht="14.4">
      <c r="A48" s="49" t="s">
        <v>33</v>
      </c>
      <c r="B48" s="50"/>
      <c r="C48" s="50"/>
      <c r="D48" s="51">
        <f t="shared" si="24"/>
        <v>0</v>
      </c>
      <c r="E48" s="50"/>
      <c r="F48" s="50"/>
      <c r="G48" s="51">
        <f t="shared" si="25"/>
        <v>0</v>
      </c>
      <c r="H48" s="50"/>
      <c r="I48" s="50"/>
      <c r="J48" s="51">
        <f t="shared" si="26"/>
        <v>0</v>
      </c>
      <c r="K48" s="50"/>
      <c r="L48" s="50"/>
      <c r="M48" s="51">
        <f t="shared" si="27"/>
        <v>0</v>
      </c>
      <c r="N48" s="50"/>
      <c r="O48" s="50"/>
      <c r="P48" s="51">
        <f t="shared" si="28"/>
        <v>0</v>
      </c>
      <c r="Q48" s="51">
        <f t="shared" si="35"/>
        <v>0</v>
      </c>
      <c r="R48" s="51">
        <f t="shared" si="36"/>
        <v>0</v>
      </c>
      <c r="S48" s="51">
        <f t="shared" si="29"/>
        <v>0</v>
      </c>
      <c r="T48" s="50">
        <v>0</v>
      </c>
      <c r="U48" s="50">
        <f>L48+O48</f>
        <v>0</v>
      </c>
      <c r="V48" s="51">
        <f t="shared" si="30"/>
        <v>0</v>
      </c>
      <c r="W48" s="50"/>
      <c r="X48" s="50"/>
      <c r="Y48" s="51">
        <f t="shared" si="31"/>
        <v>0</v>
      </c>
      <c r="Z48" s="50"/>
      <c r="AA48" s="50"/>
      <c r="AB48" s="51">
        <f t="shared" si="32"/>
        <v>0</v>
      </c>
      <c r="AC48" s="50"/>
      <c r="AD48" s="50"/>
      <c r="AE48" s="51">
        <f t="shared" si="33"/>
        <v>0</v>
      </c>
      <c r="AF48" s="50"/>
      <c r="AG48" s="50"/>
      <c r="AH48" s="51">
        <f t="shared" si="34"/>
        <v>0</v>
      </c>
    </row>
    <row r="49" spans="1:1024" ht="14.4">
      <c r="A49" s="49" t="s">
        <v>35</v>
      </c>
      <c r="B49" s="50"/>
      <c r="C49" s="50"/>
      <c r="D49" s="51">
        <f t="shared" si="24"/>
        <v>0</v>
      </c>
      <c r="E49" s="50"/>
      <c r="F49" s="50"/>
      <c r="G49" s="51">
        <f t="shared" si="25"/>
        <v>0</v>
      </c>
      <c r="H49" s="50"/>
      <c r="I49" s="50"/>
      <c r="J49" s="51">
        <f t="shared" si="26"/>
        <v>0</v>
      </c>
      <c r="K49" s="50"/>
      <c r="L49" s="50"/>
      <c r="M49" s="51">
        <f t="shared" si="27"/>
        <v>0</v>
      </c>
      <c r="N49" s="50"/>
      <c r="O49" s="50"/>
      <c r="P49" s="51">
        <f t="shared" si="28"/>
        <v>0</v>
      </c>
      <c r="Q49" s="51">
        <f t="shared" si="35"/>
        <v>0</v>
      </c>
      <c r="R49" s="51">
        <f t="shared" si="36"/>
        <v>0</v>
      </c>
      <c r="S49" s="51">
        <f t="shared" si="29"/>
        <v>0</v>
      </c>
      <c r="T49" s="50">
        <v>0</v>
      </c>
      <c r="U49" s="50">
        <v>0</v>
      </c>
      <c r="V49" s="51">
        <f t="shared" si="30"/>
        <v>0</v>
      </c>
      <c r="W49" s="50"/>
      <c r="X49" s="50"/>
      <c r="Y49" s="51">
        <f t="shared" si="31"/>
        <v>0</v>
      </c>
      <c r="Z49" s="50"/>
      <c r="AA49" s="50"/>
      <c r="AB49" s="51">
        <f t="shared" si="32"/>
        <v>0</v>
      </c>
      <c r="AC49" s="50"/>
      <c r="AD49" s="50"/>
      <c r="AE49" s="51">
        <f t="shared" si="33"/>
        <v>0</v>
      </c>
      <c r="AF49" s="50"/>
      <c r="AG49" s="50"/>
      <c r="AH49" s="51">
        <f t="shared" si="34"/>
        <v>0</v>
      </c>
    </row>
    <row r="50" spans="1:1024" ht="14.4">
      <c r="A50" s="49" t="s">
        <v>37</v>
      </c>
      <c r="B50" s="50"/>
      <c r="C50" s="50"/>
      <c r="D50" s="51">
        <f t="shared" si="24"/>
        <v>0</v>
      </c>
      <c r="E50" s="50"/>
      <c r="F50" s="50"/>
      <c r="G50" s="51">
        <f t="shared" si="25"/>
        <v>0</v>
      </c>
      <c r="H50" s="50"/>
      <c r="I50" s="50"/>
      <c r="J50" s="51">
        <f t="shared" si="26"/>
        <v>0</v>
      </c>
      <c r="K50" s="50"/>
      <c r="L50" s="50"/>
      <c r="M50" s="51">
        <f t="shared" si="27"/>
        <v>0</v>
      </c>
      <c r="N50" s="50"/>
      <c r="O50" s="50"/>
      <c r="P50" s="51">
        <f t="shared" si="28"/>
        <v>0</v>
      </c>
      <c r="Q50" s="51">
        <f t="shared" si="35"/>
        <v>0</v>
      </c>
      <c r="R50" s="51">
        <f t="shared" si="36"/>
        <v>0</v>
      </c>
      <c r="S50" s="51">
        <f t="shared" si="29"/>
        <v>0</v>
      </c>
      <c r="T50" s="50">
        <v>0</v>
      </c>
      <c r="U50" s="50">
        <f>L50+O50</f>
        <v>0</v>
      </c>
      <c r="V50" s="51">
        <f t="shared" si="30"/>
        <v>0</v>
      </c>
      <c r="W50" s="50"/>
      <c r="X50" s="50"/>
      <c r="Y50" s="51">
        <f t="shared" si="31"/>
        <v>0</v>
      </c>
      <c r="Z50" s="10"/>
      <c r="AA50" s="50"/>
      <c r="AB50" s="51">
        <f t="shared" si="32"/>
        <v>0</v>
      </c>
      <c r="AC50" s="50"/>
      <c r="AD50" s="50"/>
      <c r="AE50" s="51">
        <f t="shared" si="33"/>
        <v>0</v>
      </c>
      <c r="AF50" s="50"/>
      <c r="AG50" s="50"/>
      <c r="AH50" s="51">
        <f t="shared" si="34"/>
        <v>0</v>
      </c>
    </row>
    <row r="51" spans="1:1024" ht="14.4">
      <c r="A51" s="49" t="s">
        <v>39</v>
      </c>
      <c r="B51" s="50"/>
      <c r="C51" s="50"/>
      <c r="D51" s="51">
        <f t="shared" si="24"/>
        <v>0</v>
      </c>
      <c r="E51" s="50"/>
      <c r="F51" s="50"/>
      <c r="G51" s="51">
        <f t="shared" si="25"/>
        <v>0</v>
      </c>
      <c r="H51" s="50"/>
      <c r="I51" s="50"/>
      <c r="J51" s="51">
        <f t="shared" si="26"/>
        <v>0</v>
      </c>
      <c r="K51" s="50"/>
      <c r="L51" s="50"/>
      <c r="M51" s="51">
        <f t="shared" si="27"/>
        <v>0</v>
      </c>
      <c r="N51" s="50"/>
      <c r="O51" s="50"/>
      <c r="P51" s="51">
        <f t="shared" si="28"/>
        <v>0</v>
      </c>
      <c r="Q51" s="51">
        <f t="shared" si="35"/>
        <v>0</v>
      </c>
      <c r="R51" s="51">
        <f t="shared" si="36"/>
        <v>0</v>
      </c>
      <c r="S51" s="51">
        <f t="shared" si="29"/>
        <v>0</v>
      </c>
      <c r="T51" s="50">
        <v>0</v>
      </c>
      <c r="U51" s="50">
        <f>L51+O51</f>
        <v>0</v>
      </c>
      <c r="V51" s="51">
        <f t="shared" si="30"/>
        <v>0</v>
      </c>
      <c r="W51" s="50"/>
      <c r="X51" s="50"/>
      <c r="Y51" s="51">
        <f t="shared" si="31"/>
        <v>0</v>
      </c>
      <c r="Z51" s="50"/>
      <c r="AA51" s="50"/>
      <c r="AB51" s="51">
        <f t="shared" si="32"/>
        <v>0</v>
      </c>
      <c r="AC51" s="50"/>
      <c r="AD51" s="50"/>
      <c r="AE51" s="51">
        <f t="shared" si="33"/>
        <v>0</v>
      </c>
      <c r="AF51" s="50"/>
      <c r="AG51" s="50"/>
      <c r="AH51" s="51">
        <f t="shared" si="34"/>
        <v>0</v>
      </c>
    </row>
    <row r="52" spans="1:1024" ht="14.4">
      <c r="A52" s="49" t="s">
        <v>40</v>
      </c>
      <c r="B52" s="50"/>
      <c r="C52" s="50"/>
      <c r="D52" s="51">
        <f t="shared" si="24"/>
        <v>0</v>
      </c>
      <c r="E52" s="50"/>
      <c r="F52" s="50"/>
      <c r="G52" s="51">
        <f t="shared" si="25"/>
        <v>0</v>
      </c>
      <c r="H52" s="50"/>
      <c r="I52" s="50"/>
      <c r="J52" s="51">
        <f t="shared" si="26"/>
        <v>0</v>
      </c>
      <c r="K52" s="50"/>
      <c r="L52" s="50"/>
      <c r="M52" s="51">
        <f t="shared" si="27"/>
        <v>0</v>
      </c>
      <c r="N52" s="50"/>
      <c r="O52" s="50"/>
      <c r="P52" s="51">
        <f t="shared" si="28"/>
        <v>0</v>
      </c>
      <c r="Q52" s="51">
        <f t="shared" si="35"/>
        <v>0</v>
      </c>
      <c r="R52" s="51">
        <f t="shared" si="36"/>
        <v>0</v>
      </c>
      <c r="S52" s="51">
        <f t="shared" si="29"/>
        <v>0</v>
      </c>
      <c r="T52" s="50">
        <v>0</v>
      </c>
      <c r="U52" s="50">
        <v>0</v>
      </c>
      <c r="V52" s="51">
        <f t="shared" si="30"/>
        <v>0</v>
      </c>
      <c r="W52" s="50"/>
      <c r="X52" s="50"/>
      <c r="Y52" s="51">
        <f t="shared" si="31"/>
        <v>0</v>
      </c>
      <c r="Z52" s="50"/>
      <c r="AA52" s="10"/>
      <c r="AB52" s="51">
        <f t="shared" si="32"/>
        <v>0</v>
      </c>
      <c r="AC52" s="50"/>
      <c r="AD52" s="50"/>
      <c r="AE52" s="51">
        <f t="shared" si="33"/>
        <v>0</v>
      </c>
      <c r="AF52" s="50"/>
      <c r="AG52" s="50"/>
      <c r="AH52" s="51">
        <f t="shared" si="34"/>
        <v>0</v>
      </c>
    </row>
    <row r="53" spans="1:1024" ht="14.4">
      <c r="A53" s="49" t="s">
        <v>41</v>
      </c>
      <c r="B53" s="50"/>
      <c r="C53" s="50"/>
      <c r="D53" s="51">
        <f t="shared" si="24"/>
        <v>0</v>
      </c>
      <c r="E53" s="50"/>
      <c r="F53" s="50"/>
      <c r="G53" s="51">
        <f t="shared" si="25"/>
        <v>0</v>
      </c>
      <c r="H53" s="50"/>
      <c r="I53" s="50"/>
      <c r="J53" s="51">
        <f t="shared" si="26"/>
        <v>0</v>
      </c>
      <c r="K53" s="50"/>
      <c r="L53" s="50"/>
      <c r="M53" s="51">
        <f t="shared" si="27"/>
        <v>0</v>
      </c>
      <c r="N53" s="50"/>
      <c r="O53" s="50"/>
      <c r="P53" s="51">
        <f t="shared" si="28"/>
        <v>0</v>
      </c>
      <c r="Q53" s="51">
        <f t="shared" si="35"/>
        <v>0</v>
      </c>
      <c r="R53" s="51">
        <f t="shared" si="36"/>
        <v>0</v>
      </c>
      <c r="S53" s="51">
        <f t="shared" si="29"/>
        <v>0</v>
      </c>
      <c r="T53" s="50">
        <v>0</v>
      </c>
      <c r="U53" s="50"/>
      <c r="V53" s="51">
        <f t="shared" si="30"/>
        <v>0</v>
      </c>
      <c r="W53" s="50"/>
      <c r="X53" s="50"/>
      <c r="Y53" s="51">
        <f t="shared" si="31"/>
        <v>0</v>
      </c>
      <c r="Z53" s="50"/>
      <c r="AA53" s="50"/>
      <c r="AB53" s="51">
        <f t="shared" si="32"/>
        <v>0</v>
      </c>
      <c r="AC53" s="50"/>
      <c r="AD53" s="50"/>
      <c r="AE53" s="51">
        <f t="shared" si="33"/>
        <v>0</v>
      </c>
      <c r="AF53" s="50"/>
      <c r="AG53" s="50"/>
      <c r="AH53" s="51">
        <f t="shared" si="34"/>
        <v>0</v>
      </c>
    </row>
    <row r="54" spans="1:1024" ht="14.4">
      <c r="A54" s="49" t="s">
        <v>43</v>
      </c>
      <c r="B54" s="50"/>
      <c r="C54" s="50"/>
      <c r="D54" s="51">
        <f t="shared" si="24"/>
        <v>0</v>
      </c>
      <c r="E54" s="50"/>
      <c r="F54" s="50"/>
      <c r="G54" s="51">
        <f t="shared" si="25"/>
        <v>0</v>
      </c>
      <c r="H54" s="50"/>
      <c r="I54" s="50"/>
      <c r="J54" s="51">
        <f t="shared" si="26"/>
        <v>0</v>
      </c>
      <c r="K54" s="50"/>
      <c r="L54" s="50"/>
      <c r="M54" s="51">
        <f t="shared" si="27"/>
        <v>0</v>
      </c>
      <c r="N54" s="50"/>
      <c r="O54" s="10"/>
      <c r="P54" s="51">
        <f t="shared" si="28"/>
        <v>0</v>
      </c>
      <c r="Q54" s="51">
        <f t="shared" si="35"/>
        <v>0</v>
      </c>
      <c r="R54" s="51">
        <f t="shared" si="36"/>
        <v>0</v>
      </c>
      <c r="S54" s="51">
        <f t="shared" si="29"/>
        <v>0</v>
      </c>
      <c r="T54" s="50">
        <v>0</v>
      </c>
      <c r="U54" s="50">
        <v>0</v>
      </c>
      <c r="V54" s="51">
        <f t="shared" si="30"/>
        <v>0</v>
      </c>
      <c r="W54" s="50"/>
      <c r="X54" s="50"/>
      <c r="Y54" s="51">
        <f t="shared" si="31"/>
        <v>0</v>
      </c>
      <c r="Z54" s="50"/>
      <c r="AA54" s="50"/>
      <c r="AB54" s="51">
        <f t="shared" si="32"/>
        <v>0</v>
      </c>
      <c r="AC54" s="50"/>
      <c r="AD54" s="50"/>
      <c r="AE54" s="51">
        <f t="shared" si="33"/>
        <v>0</v>
      </c>
      <c r="AF54" s="50"/>
      <c r="AG54" s="50"/>
      <c r="AH54" s="51">
        <f t="shared" si="34"/>
        <v>0</v>
      </c>
    </row>
    <row r="55" spans="1:1024" ht="14.4">
      <c r="A55" s="49" t="s">
        <v>45</v>
      </c>
      <c r="B55" s="50"/>
      <c r="C55" s="50"/>
      <c r="D55" s="51">
        <f t="shared" si="24"/>
        <v>0</v>
      </c>
      <c r="E55" s="50"/>
      <c r="F55" s="50"/>
      <c r="G55" s="51">
        <f t="shared" si="25"/>
        <v>0</v>
      </c>
      <c r="H55" s="50"/>
      <c r="I55" s="50"/>
      <c r="J55" s="51">
        <f t="shared" si="26"/>
        <v>0</v>
      </c>
      <c r="K55" s="50"/>
      <c r="L55" s="50"/>
      <c r="M55" s="51">
        <f t="shared" si="27"/>
        <v>0</v>
      </c>
      <c r="N55" s="50"/>
      <c r="O55" s="50"/>
      <c r="P55" s="51">
        <f t="shared" si="28"/>
        <v>0</v>
      </c>
      <c r="Q55" s="51">
        <f t="shared" si="35"/>
        <v>0</v>
      </c>
      <c r="R55" s="51">
        <f t="shared" si="36"/>
        <v>0</v>
      </c>
      <c r="S55" s="51">
        <f t="shared" si="29"/>
        <v>0</v>
      </c>
      <c r="T55" s="50">
        <v>0</v>
      </c>
      <c r="U55" s="50">
        <f>L55+O55</f>
        <v>0</v>
      </c>
      <c r="V55" s="51">
        <f t="shared" si="30"/>
        <v>0</v>
      </c>
      <c r="W55" s="50"/>
      <c r="X55" s="50"/>
      <c r="Y55" s="51">
        <f t="shared" si="31"/>
        <v>0</v>
      </c>
      <c r="Z55" s="50"/>
      <c r="AA55" s="50"/>
      <c r="AB55" s="51">
        <f t="shared" si="32"/>
        <v>0</v>
      </c>
      <c r="AC55" s="50"/>
      <c r="AD55" s="50"/>
      <c r="AE55" s="51">
        <f t="shared" si="33"/>
        <v>0</v>
      </c>
      <c r="AF55" s="50"/>
      <c r="AG55" s="50"/>
      <c r="AH55" s="51">
        <f t="shared" si="34"/>
        <v>0</v>
      </c>
    </row>
    <row r="56" spans="1:1024" ht="14.4">
      <c r="A56" s="49" t="s">
        <v>46</v>
      </c>
      <c r="B56" s="50"/>
      <c r="C56" s="50"/>
      <c r="D56" s="51">
        <f t="shared" si="24"/>
        <v>0</v>
      </c>
      <c r="E56" s="50"/>
      <c r="F56" s="50"/>
      <c r="G56" s="51">
        <f t="shared" si="25"/>
        <v>0</v>
      </c>
      <c r="H56" s="50"/>
      <c r="I56" s="50">
        <f>C56+F56</f>
        <v>0</v>
      </c>
      <c r="J56" s="51">
        <f t="shared" si="26"/>
        <v>0</v>
      </c>
      <c r="K56" s="50"/>
      <c r="L56" s="50"/>
      <c r="M56" s="51">
        <f t="shared" si="27"/>
        <v>0</v>
      </c>
      <c r="N56" s="50"/>
      <c r="O56" s="50"/>
      <c r="P56" s="51">
        <f t="shared" si="28"/>
        <v>0</v>
      </c>
      <c r="Q56" s="51">
        <f t="shared" si="35"/>
        <v>0</v>
      </c>
      <c r="R56" s="51">
        <f t="shared" si="36"/>
        <v>0</v>
      </c>
      <c r="S56" s="51">
        <f t="shared" si="29"/>
        <v>0</v>
      </c>
      <c r="T56" s="50">
        <v>0</v>
      </c>
      <c r="U56" s="50">
        <f>L56+O56</f>
        <v>0</v>
      </c>
      <c r="V56" s="51">
        <f t="shared" si="30"/>
        <v>0</v>
      </c>
      <c r="W56" s="50"/>
      <c r="X56" s="50"/>
      <c r="Y56" s="51">
        <f t="shared" si="31"/>
        <v>0</v>
      </c>
      <c r="Z56" s="50"/>
      <c r="AA56" s="50"/>
      <c r="AB56" s="51">
        <f t="shared" si="32"/>
        <v>0</v>
      </c>
      <c r="AC56" s="50"/>
      <c r="AD56" s="50"/>
      <c r="AE56" s="51">
        <f t="shared" si="33"/>
        <v>0</v>
      </c>
      <c r="AF56" s="50"/>
      <c r="AG56" s="50"/>
      <c r="AH56" s="51">
        <f t="shared" si="34"/>
        <v>0</v>
      </c>
    </row>
    <row r="57" spans="1:1024" ht="14.4">
      <c r="A57" s="53" t="s">
        <v>47</v>
      </c>
      <c r="B57" s="54">
        <f>SUM(B45:B56)</f>
        <v>0</v>
      </c>
      <c r="C57" s="54">
        <f>SUM(C45:C56)</f>
        <v>0</v>
      </c>
      <c r="D57" s="54">
        <f t="shared" si="24"/>
        <v>0</v>
      </c>
      <c r="E57" s="54">
        <f>SUM(E45:E56)</f>
        <v>0</v>
      </c>
      <c r="F57" s="54">
        <f>SUM(F45:F56)</f>
        <v>0</v>
      </c>
      <c r="G57" s="54">
        <f t="shared" si="25"/>
        <v>0</v>
      </c>
      <c r="H57" s="54">
        <f>B57+E57</f>
        <v>0</v>
      </c>
      <c r="I57" s="54">
        <f>C57+F57</f>
        <v>0</v>
      </c>
      <c r="J57" s="54">
        <f t="shared" si="26"/>
        <v>0</v>
      </c>
      <c r="K57" s="54">
        <f>SUM(K45:K56)</f>
        <v>0</v>
      </c>
      <c r="L57" s="54">
        <f>SUM(L45:L56)</f>
        <v>0</v>
      </c>
      <c r="M57" s="54">
        <f t="shared" si="27"/>
        <v>0</v>
      </c>
      <c r="N57" s="54">
        <f>SUM(N45:N56)</f>
        <v>94241.16</v>
      </c>
      <c r="O57" s="54">
        <f>SUM(O45:O56)</f>
        <v>0</v>
      </c>
      <c r="P57" s="54">
        <f t="shared" si="28"/>
        <v>94241.16</v>
      </c>
      <c r="Q57" s="54">
        <f t="shared" ref="Q57:AA57" si="37">SUM(Q45:Q56)</f>
        <v>94241.16</v>
      </c>
      <c r="R57" s="54">
        <f t="shared" si="37"/>
        <v>0</v>
      </c>
      <c r="S57" s="54">
        <f t="shared" si="37"/>
        <v>94241.16</v>
      </c>
      <c r="T57" s="54">
        <f t="shared" si="37"/>
        <v>0</v>
      </c>
      <c r="U57" s="54">
        <f t="shared" si="37"/>
        <v>0</v>
      </c>
      <c r="V57" s="54">
        <f t="shared" si="37"/>
        <v>0</v>
      </c>
      <c r="W57" s="54">
        <f t="shared" si="37"/>
        <v>63016.320000000007</v>
      </c>
      <c r="X57" s="54">
        <f t="shared" si="37"/>
        <v>0</v>
      </c>
      <c r="Y57" s="54">
        <f t="shared" si="37"/>
        <v>63016.320000000007</v>
      </c>
      <c r="Z57" s="54">
        <f t="shared" si="37"/>
        <v>5387.72</v>
      </c>
      <c r="AA57" s="54">
        <f t="shared" si="37"/>
        <v>0</v>
      </c>
      <c r="AB57" s="54">
        <f t="shared" si="32"/>
        <v>5387.72</v>
      </c>
      <c r="AC57" s="54">
        <f>W57+Z57</f>
        <v>68404.040000000008</v>
      </c>
      <c r="AD57" s="54">
        <f>X57+AA57</f>
        <v>0</v>
      </c>
      <c r="AE57" s="54">
        <f t="shared" si="33"/>
        <v>68404.040000000008</v>
      </c>
      <c r="AF57" s="54">
        <f>Z57+AC57</f>
        <v>73791.760000000009</v>
      </c>
      <c r="AG57" s="54">
        <f>AA57+AD57</f>
        <v>0</v>
      </c>
      <c r="AH57" s="54">
        <f t="shared" si="34"/>
        <v>73791.760000000009</v>
      </c>
    </row>
    <row r="59" spans="1:1024" ht="18">
      <c r="A59" s="370" t="s">
        <v>72</v>
      </c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55"/>
      <c r="N59" s="55"/>
      <c r="O59" s="55"/>
    </row>
    <row r="60" spans="1:1024" ht="31.5" customHeight="1">
      <c r="A60" s="5"/>
      <c r="B60" s="371" t="s">
        <v>73</v>
      </c>
      <c r="C60" s="371"/>
      <c r="D60" s="371"/>
      <c r="E60" s="371" t="s">
        <v>74</v>
      </c>
      <c r="F60" s="371"/>
      <c r="G60" s="371"/>
      <c r="H60" s="371" t="s">
        <v>75</v>
      </c>
      <c r="I60" s="371"/>
      <c r="J60" s="371"/>
      <c r="K60" s="371"/>
      <c r="L60" s="371"/>
      <c r="M60" s="378"/>
      <c r="N60" s="378"/>
      <c r="O60" s="378"/>
      <c r="P60" s="20"/>
      <c r="Q60" s="20"/>
      <c r="R60" s="20"/>
      <c r="S60" s="20"/>
      <c r="T60" s="20"/>
      <c r="U60" s="20"/>
      <c r="V60" s="20"/>
      <c r="W60" s="5"/>
      <c r="X60" s="5"/>
      <c r="Y60" s="5">
        <f>30878.71-Y55-Z55</f>
        <v>30878.71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</row>
    <row r="61" spans="1:1024" ht="31.5" customHeight="1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"/>
      <c r="N61" s="6"/>
      <c r="O61" s="6"/>
      <c r="P61" s="20"/>
      <c r="Q61" s="20"/>
      <c r="R61" s="20"/>
      <c r="S61" s="20"/>
      <c r="T61" s="20"/>
      <c r="U61" s="20"/>
      <c r="V61" s="20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</row>
    <row r="62" spans="1:1024" ht="14.4">
      <c r="A62" s="2" t="s">
        <v>9</v>
      </c>
      <c r="B62" s="7" t="s">
        <v>10</v>
      </c>
      <c r="C62" s="7" t="s">
        <v>11</v>
      </c>
      <c r="D62" s="7" t="s">
        <v>12</v>
      </c>
      <c r="E62" s="7" t="s">
        <v>10</v>
      </c>
      <c r="F62" s="7" t="s">
        <v>11</v>
      </c>
      <c r="G62" s="7" t="s">
        <v>12</v>
      </c>
      <c r="H62" s="7" t="s">
        <v>10</v>
      </c>
      <c r="I62" s="7" t="s">
        <v>11</v>
      </c>
      <c r="J62" s="7" t="s">
        <v>13</v>
      </c>
      <c r="K62" s="7" t="s">
        <v>14</v>
      </c>
      <c r="L62" s="8" t="s">
        <v>12</v>
      </c>
      <c r="M62" s="9"/>
      <c r="N62" s="9"/>
      <c r="O62" s="9"/>
    </row>
    <row r="63" spans="1:1024" ht="14.4">
      <c r="A63" s="2" t="s">
        <v>25</v>
      </c>
      <c r="B63" s="56">
        <v>0</v>
      </c>
      <c r="C63" s="56">
        <v>0</v>
      </c>
      <c r="D63" s="56">
        <f t="shared" ref="D63:D75" si="38">B63+C63</f>
        <v>0</v>
      </c>
      <c r="E63" s="10">
        <v>11469.49</v>
      </c>
      <c r="F63" s="56"/>
      <c r="G63" s="56">
        <f t="shared" ref="G63:G75" si="39">E63+F63</f>
        <v>11469.49</v>
      </c>
      <c r="H63" s="56">
        <f>B63+E63</f>
        <v>11469.49</v>
      </c>
      <c r="I63" s="56">
        <f>C63+F63</f>
        <v>0</v>
      </c>
      <c r="J63" s="11">
        <f t="shared" ref="J63:J75" si="40">H63+I63</f>
        <v>11469.49</v>
      </c>
      <c r="K63" s="11"/>
      <c r="L63" s="11">
        <f t="shared" ref="L63:L75" si="41">J63+K63</f>
        <v>11469.49</v>
      </c>
      <c r="P63" s="49" t="s">
        <v>9</v>
      </c>
      <c r="Q63" s="57" t="s">
        <v>76</v>
      </c>
    </row>
    <row r="64" spans="1:1024" ht="14.4">
      <c r="A64" s="2" t="s">
        <v>27</v>
      </c>
      <c r="B64" s="3">
        <v>0</v>
      </c>
      <c r="C64" s="3">
        <v>0</v>
      </c>
      <c r="D64" s="58">
        <f t="shared" si="38"/>
        <v>0</v>
      </c>
      <c r="E64" s="10">
        <v>10317.17</v>
      </c>
      <c r="G64" s="58">
        <f t="shared" si="39"/>
        <v>10317.17</v>
      </c>
      <c r="H64" s="56"/>
      <c r="J64" s="11">
        <f t="shared" si="40"/>
        <v>0</v>
      </c>
      <c r="K64" s="11"/>
      <c r="L64" s="11">
        <f t="shared" si="41"/>
        <v>0</v>
      </c>
      <c r="P64" s="49" t="s">
        <v>25</v>
      </c>
      <c r="Q64" s="50">
        <v>1726750.74</v>
      </c>
    </row>
    <row r="65" spans="1:1024" ht="14.4">
      <c r="A65" s="2" t="s">
        <v>30</v>
      </c>
      <c r="D65" s="58">
        <f t="shared" si="38"/>
        <v>0</v>
      </c>
      <c r="E65" s="15">
        <v>1510.92</v>
      </c>
      <c r="G65" s="58">
        <f t="shared" si="39"/>
        <v>1510.92</v>
      </c>
      <c r="H65" s="56"/>
      <c r="J65" s="11">
        <f t="shared" si="40"/>
        <v>0</v>
      </c>
      <c r="K65" s="11"/>
      <c r="L65" s="11">
        <f t="shared" si="41"/>
        <v>0</v>
      </c>
      <c r="P65" s="49" t="s">
        <v>27</v>
      </c>
      <c r="Q65" s="10">
        <v>978537.31</v>
      </c>
    </row>
    <row r="66" spans="1:1024" ht="14.4">
      <c r="A66" s="2" t="s">
        <v>33</v>
      </c>
      <c r="D66" s="58">
        <f t="shared" si="38"/>
        <v>0</v>
      </c>
      <c r="G66" s="58">
        <f t="shared" si="39"/>
        <v>0</v>
      </c>
      <c r="H66" s="56"/>
      <c r="J66" s="11">
        <f t="shared" si="40"/>
        <v>0</v>
      </c>
      <c r="K66" s="11"/>
      <c r="L66" s="11">
        <f t="shared" si="41"/>
        <v>0</v>
      </c>
      <c r="P66" s="49" t="s">
        <v>30</v>
      </c>
      <c r="Q66" s="50">
        <v>1002713.29</v>
      </c>
    </row>
    <row r="67" spans="1:1024" ht="14.4">
      <c r="A67" s="2" t="s">
        <v>35</v>
      </c>
      <c r="D67" s="58">
        <f t="shared" si="38"/>
        <v>0</v>
      </c>
      <c r="G67" s="58">
        <f t="shared" si="39"/>
        <v>0</v>
      </c>
      <c r="H67" s="56"/>
      <c r="J67" s="11">
        <f t="shared" si="40"/>
        <v>0</v>
      </c>
      <c r="K67" s="11"/>
      <c r="L67" s="11">
        <f t="shared" si="41"/>
        <v>0</v>
      </c>
      <c r="P67" s="49" t="s">
        <v>33</v>
      </c>
      <c r="Q67" s="50">
        <v>1042309.01</v>
      </c>
    </row>
    <row r="68" spans="1:1024" ht="14.4">
      <c r="A68" s="2" t="s">
        <v>37</v>
      </c>
      <c r="D68" s="58">
        <f t="shared" si="38"/>
        <v>0</v>
      </c>
      <c r="G68" s="58">
        <f t="shared" si="39"/>
        <v>0</v>
      </c>
      <c r="H68" s="56"/>
      <c r="J68" s="11">
        <f t="shared" si="40"/>
        <v>0</v>
      </c>
      <c r="K68" s="11"/>
      <c r="L68" s="11">
        <f t="shared" si="41"/>
        <v>0</v>
      </c>
      <c r="P68" s="49" t="s">
        <v>35</v>
      </c>
      <c r="Q68" s="50">
        <v>1490708.96</v>
      </c>
    </row>
    <row r="69" spans="1:1024" ht="14.4">
      <c r="A69" s="2" t="s">
        <v>39</v>
      </c>
      <c r="D69" s="58">
        <f t="shared" si="38"/>
        <v>0</v>
      </c>
      <c r="G69" s="58">
        <f t="shared" si="39"/>
        <v>0</v>
      </c>
      <c r="H69" s="56"/>
      <c r="J69" s="11">
        <f t="shared" si="40"/>
        <v>0</v>
      </c>
      <c r="K69" s="11"/>
      <c r="L69" s="11">
        <f t="shared" si="41"/>
        <v>0</v>
      </c>
    </row>
    <row r="70" spans="1:1024" ht="14.4">
      <c r="A70" s="2" t="s">
        <v>40</v>
      </c>
      <c r="D70" s="58">
        <f t="shared" si="38"/>
        <v>0</v>
      </c>
      <c r="G70" s="58">
        <f t="shared" si="39"/>
        <v>0</v>
      </c>
      <c r="H70" s="56"/>
      <c r="J70" s="11">
        <f t="shared" si="40"/>
        <v>0</v>
      </c>
      <c r="K70" s="11"/>
      <c r="L70" s="11">
        <f t="shared" si="41"/>
        <v>0</v>
      </c>
    </row>
    <row r="71" spans="1:1024" ht="14.4">
      <c r="A71" s="2" t="s">
        <v>41</v>
      </c>
      <c r="D71" s="58">
        <f t="shared" si="38"/>
        <v>0</v>
      </c>
      <c r="G71" s="58">
        <f t="shared" si="39"/>
        <v>0</v>
      </c>
      <c r="H71" s="56"/>
      <c r="J71" s="11">
        <f t="shared" si="40"/>
        <v>0</v>
      </c>
      <c r="K71" s="11"/>
      <c r="L71" s="11">
        <f t="shared" si="41"/>
        <v>0</v>
      </c>
      <c r="O71" s="3">
        <f>700000/150</f>
        <v>4666.666666666667</v>
      </c>
    </row>
    <row r="72" spans="1:1024" ht="14.4">
      <c r="A72" s="2" t="s">
        <v>43</v>
      </c>
      <c r="D72" s="58">
        <f t="shared" si="38"/>
        <v>0</v>
      </c>
      <c r="G72" s="58">
        <f t="shared" si="39"/>
        <v>0</v>
      </c>
      <c r="H72" s="56"/>
      <c r="J72" s="11">
        <f t="shared" si="40"/>
        <v>0</v>
      </c>
      <c r="K72" s="11"/>
      <c r="L72" s="11">
        <f t="shared" si="41"/>
        <v>0</v>
      </c>
    </row>
    <row r="73" spans="1:1024" ht="14.4">
      <c r="A73" s="2" t="s">
        <v>45</v>
      </c>
      <c r="D73" s="58">
        <f t="shared" si="38"/>
        <v>0</v>
      </c>
      <c r="G73" s="58">
        <f t="shared" si="39"/>
        <v>0</v>
      </c>
      <c r="H73" s="56"/>
      <c r="J73" s="11">
        <f t="shared" si="40"/>
        <v>0</v>
      </c>
      <c r="K73" s="11"/>
      <c r="L73" s="11">
        <f t="shared" si="41"/>
        <v>0</v>
      </c>
    </row>
    <row r="74" spans="1:1024" ht="14.4">
      <c r="A74" s="2" t="s">
        <v>46</v>
      </c>
      <c r="D74" s="58">
        <f t="shared" si="38"/>
        <v>0</v>
      </c>
      <c r="G74" s="58">
        <f t="shared" si="39"/>
        <v>0</v>
      </c>
      <c r="H74" s="56"/>
      <c r="J74" s="11">
        <f t="shared" si="40"/>
        <v>0</v>
      </c>
      <c r="K74" s="11"/>
      <c r="L74" s="11">
        <f t="shared" si="41"/>
        <v>0</v>
      </c>
    </row>
    <row r="75" spans="1:1024" ht="14.4">
      <c r="A75" s="19" t="s">
        <v>47</v>
      </c>
      <c r="B75" s="11">
        <f>SUM(B63:B74)</f>
        <v>0</v>
      </c>
      <c r="C75" s="11">
        <f>SUM(C63:C74)</f>
        <v>0</v>
      </c>
      <c r="D75" s="11">
        <f t="shared" si="38"/>
        <v>0</v>
      </c>
      <c r="E75" s="11">
        <f>SUM(E63:E74)</f>
        <v>23297.58</v>
      </c>
      <c r="F75" s="11">
        <f>SUM(F63:F74)</f>
        <v>0</v>
      </c>
      <c r="G75" s="11">
        <f t="shared" si="39"/>
        <v>23297.58</v>
      </c>
      <c r="H75" s="11">
        <f>B75+E75</f>
        <v>23297.58</v>
      </c>
      <c r="I75" s="11">
        <f>C75+F75</f>
        <v>0</v>
      </c>
      <c r="J75" s="11">
        <f t="shared" si="40"/>
        <v>23297.58</v>
      </c>
      <c r="K75" s="11"/>
      <c r="L75" s="11">
        <f t="shared" si="41"/>
        <v>23297.58</v>
      </c>
    </row>
    <row r="77" spans="1:1024" ht="14.4">
      <c r="O77" s="3">
        <f>H95/4</f>
        <v>843723.97750000004</v>
      </c>
    </row>
    <row r="79" spans="1:1024" ht="18">
      <c r="A79" s="370" t="s">
        <v>77</v>
      </c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</row>
    <row r="80" spans="1:1024" ht="31.5" customHeight="1">
      <c r="A80" s="5"/>
      <c r="B80" s="374" t="s">
        <v>78</v>
      </c>
      <c r="C80" s="374"/>
      <c r="D80" s="374"/>
      <c r="E80" s="374" t="s">
        <v>79</v>
      </c>
      <c r="F80" s="374"/>
      <c r="G80" s="374"/>
      <c r="H80" s="374" t="s">
        <v>80</v>
      </c>
      <c r="I80" s="374"/>
      <c r="J80" s="374"/>
      <c r="K80" s="379" t="s">
        <v>81</v>
      </c>
      <c r="L80" s="379"/>
      <c r="M80" s="379"/>
      <c r="N80" s="59"/>
      <c r="O80" s="59"/>
      <c r="P80" s="374" t="s">
        <v>82</v>
      </c>
      <c r="Q80" s="374"/>
      <c r="R80" s="374"/>
      <c r="S80" s="20"/>
      <c r="T80" s="20"/>
      <c r="U80" s="20"/>
      <c r="V80" s="20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  <c r="ALN80" s="5"/>
      <c r="ALO80" s="5"/>
      <c r="ALP80" s="5"/>
      <c r="ALQ80" s="5"/>
      <c r="ALR80" s="5"/>
      <c r="ALS80" s="5"/>
      <c r="ALT80" s="5"/>
      <c r="ALU80" s="5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</row>
    <row r="81" spans="1:1024" ht="14.4">
      <c r="A81" s="5"/>
      <c r="B81" s="380">
        <v>1921990199</v>
      </c>
      <c r="C81" s="380"/>
      <c r="D81" s="380"/>
      <c r="E81" s="380"/>
      <c r="F81" s="380"/>
      <c r="G81" s="380"/>
      <c r="H81" s="380">
        <v>19229901099</v>
      </c>
      <c r="I81" s="380"/>
      <c r="J81" s="380"/>
      <c r="K81" s="381"/>
      <c r="L81" s="381"/>
      <c r="M81" s="381"/>
      <c r="N81" s="59"/>
      <c r="O81" s="59"/>
      <c r="P81" s="60"/>
      <c r="Q81" s="60"/>
      <c r="R81" s="60"/>
      <c r="S81" s="20"/>
      <c r="T81" s="20"/>
      <c r="U81" s="20"/>
      <c r="V81" s="20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</row>
    <row r="82" spans="1:1024" ht="15.6">
      <c r="A82" s="49" t="s">
        <v>9</v>
      </c>
      <c r="B82" s="48" t="s">
        <v>10</v>
      </c>
      <c r="C82" s="48" t="s">
        <v>11</v>
      </c>
      <c r="D82" s="48" t="s">
        <v>12</v>
      </c>
      <c r="E82" s="48" t="s">
        <v>10</v>
      </c>
      <c r="F82" s="48" t="s">
        <v>11</v>
      </c>
      <c r="G82" s="48" t="s">
        <v>12</v>
      </c>
      <c r="H82" s="48" t="s">
        <v>10</v>
      </c>
      <c r="I82" s="48" t="s">
        <v>11</v>
      </c>
      <c r="J82" s="48" t="s">
        <v>12</v>
      </c>
      <c r="K82" s="61" t="s">
        <v>10</v>
      </c>
      <c r="L82" s="61" t="s">
        <v>11</v>
      </c>
      <c r="M82" s="61" t="s">
        <v>12</v>
      </c>
      <c r="N82" s="9"/>
      <c r="O82" s="9"/>
      <c r="P82" s="48" t="s">
        <v>10</v>
      </c>
      <c r="Q82" s="48" t="s">
        <v>11</v>
      </c>
      <c r="R82" s="48" t="s">
        <v>12</v>
      </c>
      <c r="U82" s="382" t="s">
        <v>83</v>
      </c>
      <c r="V82" s="382"/>
    </row>
    <row r="83" spans="1:1024" ht="14.4">
      <c r="A83" s="49" t="s">
        <v>25</v>
      </c>
      <c r="B83" s="10">
        <v>2497.66</v>
      </c>
      <c r="C83" s="50"/>
      <c r="D83" s="51">
        <f t="shared" ref="D83:D95" si="42">B83+C83</f>
        <v>2497.66</v>
      </c>
      <c r="E83" s="50"/>
      <c r="F83" s="50"/>
      <c r="G83" s="51">
        <f t="shared" ref="G83:G95" si="43">E83+F83</f>
        <v>0</v>
      </c>
      <c r="H83" s="50">
        <v>1411068.72</v>
      </c>
      <c r="I83" s="50"/>
      <c r="J83" s="51">
        <f t="shared" ref="J83:J95" si="44">H83+I83</f>
        <v>1411068.72</v>
      </c>
      <c r="K83" s="54">
        <f t="shared" ref="K83:K92" si="45">H83+E83+B83</f>
        <v>1413566.38</v>
      </c>
      <c r="L83" s="54">
        <f t="shared" ref="L83:L92" si="46">I83+F83+C83</f>
        <v>0</v>
      </c>
      <c r="M83" s="54">
        <f t="shared" ref="M83:M94" si="47">K83+L83</f>
        <v>1413566.38</v>
      </c>
      <c r="P83" s="50">
        <v>100.43</v>
      </c>
      <c r="Q83" s="50"/>
      <c r="R83" s="51">
        <f t="shared" ref="R83:R95" si="48">P83+Q83</f>
        <v>100.43</v>
      </c>
      <c r="U83" s="62" t="s">
        <v>84</v>
      </c>
      <c r="V83" s="63">
        <v>844061.22</v>
      </c>
    </row>
    <row r="84" spans="1:1024" ht="14.4">
      <c r="A84" s="49" t="s">
        <v>27</v>
      </c>
      <c r="B84" s="50">
        <v>7161.25</v>
      </c>
      <c r="C84" s="50"/>
      <c r="D84" s="51">
        <f t="shared" si="42"/>
        <v>7161.25</v>
      </c>
      <c r="E84" s="50">
        <v>0</v>
      </c>
      <c r="F84" s="50"/>
      <c r="G84" s="51">
        <f t="shared" si="43"/>
        <v>0</v>
      </c>
      <c r="H84" s="10">
        <v>1242249.69</v>
      </c>
      <c r="I84" s="50"/>
      <c r="J84" s="51">
        <f t="shared" si="44"/>
        <v>1242249.69</v>
      </c>
      <c r="K84" s="54">
        <f t="shared" si="45"/>
        <v>1249410.94</v>
      </c>
      <c r="L84" s="54">
        <f t="shared" si="46"/>
        <v>0</v>
      </c>
      <c r="M84" s="54">
        <f t="shared" si="47"/>
        <v>1249410.94</v>
      </c>
      <c r="P84" s="50">
        <v>4497.8100000000004</v>
      </c>
      <c r="Q84" s="50"/>
      <c r="R84" s="51">
        <f t="shared" si="48"/>
        <v>4497.8100000000004</v>
      </c>
      <c r="U84" s="62" t="s">
        <v>85</v>
      </c>
      <c r="V84" s="63">
        <v>763137.82</v>
      </c>
    </row>
    <row r="85" spans="1:1024" ht="14.4">
      <c r="A85" s="49" t="s">
        <v>30</v>
      </c>
      <c r="B85" s="52">
        <v>2551.75</v>
      </c>
      <c r="C85" s="50"/>
      <c r="D85" s="51">
        <f t="shared" si="42"/>
        <v>2551.75</v>
      </c>
      <c r="E85" s="50">
        <v>0</v>
      </c>
      <c r="F85" s="50"/>
      <c r="G85" s="51">
        <f t="shared" si="43"/>
        <v>0</v>
      </c>
      <c r="H85" s="52">
        <v>721577.5</v>
      </c>
      <c r="I85" s="50"/>
      <c r="J85" s="51">
        <f t="shared" si="44"/>
        <v>721577.5</v>
      </c>
      <c r="K85" s="54">
        <f t="shared" si="45"/>
        <v>724129.25</v>
      </c>
      <c r="L85" s="54">
        <f t="shared" si="46"/>
        <v>0</v>
      </c>
      <c r="M85" s="54">
        <f t="shared" si="47"/>
        <v>724129.25</v>
      </c>
      <c r="P85" s="50"/>
      <c r="Q85" s="50"/>
      <c r="R85" s="51">
        <f t="shared" si="48"/>
        <v>0</v>
      </c>
      <c r="U85" s="62" t="s">
        <v>86</v>
      </c>
      <c r="V85" s="63">
        <v>431577.86</v>
      </c>
    </row>
    <row r="86" spans="1:1024" ht="14.4">
      <c r="A86" s="49" t="s">
        <v>33</v>
      </c>
      <c r="B86" s="10"/>
      <c r="C86" s="50"/>
      <c r="D86" s="51">
        <f t="shared" si="42"/>
        <v>0</v>
      </c>
      <c r="E86" s="50"/>
      <c r="F86" s="50"/>
      <c r="G86" s="51">
        <f t="shared" si="43"/>
        <v>0</v>
      </c>
      <c r="H86" s="50"/>
      <c r="I86" s="50"/>
      <c r="J86" s="51">
        <f t="shared" si="44"/>
        <v>0</v>
      </c>
      <c r="K86" s="54">
        <f t="shared" si="45"/>
        <v>0</v>
      </c>
      <c r="L86" s="54">
        <f t="shared" si="46"/>
        <v>0</v>
      </c>
      <c r="M86" s="54">
        <f t="shared" si="47"/>
        <v>0</v>
      </c>
      <c r="P86" s="50"/>
      <c r="Q86" s="50"/>
      <c r="R86" s="51">
        <f t="shared" si="48"/>
        <v>0</v>
      </c>
      <c r="U86" s="62" t="s">
        <v>87</v>
      </c>
      <c r="V86" s="63">
        <v>552592.52</v>
      </c>
    </row>
    <row r="87" spans="1:1024" ht="14.4">
      <c r="A87" s="49" t="s">
        <v>35</v>
      </c>
      <c r="B87" s="50"/>
      <c r="C87" s="50"/>
      <c r="D87" s="51">
        <f t="shared" si="42"/>
        <v>0</v>
      </c>
      <c r="E87" s="50"/>
      <c r="F87" s="50"/>
      <c r="G87" s="51">
        <f t="shared" si="43"/>
        <v>0</v>
      </c>
      <c r="H87" s="50"/>
      <c r="I87" s="50"/>
      <c r="J87" s="51">
        <f t="shared" si="44"/>
        <v>0</v>
      </c>
      <c r="K87" s="54">
        <f t="shared" si="45"/>
        <v>0</v>
      </c>
      <c r="L87" s="54">
        <f t="shared" si="46"/>
        <v>0</v>
      </c>
      <c r="M87" s="54">
        <f t="shared" si="47"/>
        <v>0</v>
      </c>
      <c r="P87" s="64"/>
      <c r="Q87" s="50"/>
      <c r="R87" s="51">
        <f t="shared" si="48"/>
        <v>0</v>
      </c>
      <c r="U87" s="62" t="s">
        <v>88</v>
      </c>
      <c r="V87" s="63">
        <v>868295.9</v>
      </c>
    </row>
    <row r="88" spans="1:1024" ht="14.4">
      <c r="A88" s="49" t="s">
        <v>37</v>
      </c>
      <c r="B88" s="50"/>
      <c r="C88" s="50"/>
      <c r="D88" s="51">
        <f t="shared" si="42"/>
        <v>0</v>
      </c>
      <c r="E88" s="50"/>
      <c r="F88" s="50"/>
      <c r="G88" s="51">
        <f t="shared" si="43"/>
        <v>0</v>
      </c>
      <c r="H88" s="10"/>
      <c r="I88" s="50"/>
      <c r="J88" s="51">
        <f t="shared" si="44"/>
        <v>0</v>
      </c>
      <c r="K88" s="54">
        <f t="shared" si="45"/>
        <v>0</v>
      </c>
      <c r="L88" s="54">
        <f t="shared" si="46"/>
        <v>0</v>
      </c>
      <c r="M88" s="54">
        <f t="shared" si="47"/>
        <v>0</v>
      </c>
      <c r="P88" s="50"/>
      <c r="Q88" s="50"/>
      <c r="R88" s="51">
        <f t="shared" si="48"/>
        <v>0</v>
      </c>
      <c r="U88" s="62" t="s">
        <v>89</v>
      </c>
      <c r="V88" s="63">
        <v>498933.15</v>
      </c>
    </row>
    <row r="89" spans="1:1024" ht="14.4">
      <c r="A89" s="49" t="s">
        <v>39</v>
      </c>
      <c r="B89" s="50"/>
      <c r="C89" s="50"/>
      <c r="D89" s="51">
        <f t="shared" si="42"/>
        <v>0</v>
      </c>
      <c r="E89" s="50"/>
      <c r="F89" s="50"/>
      <c r="G89" s="51">
        <f t="shared" si="43"/>
        <v>0</v>
      </c>
      <c r="H89" s="50"/>
      <c r="I89" s="50"/>
      <c r="J89" s="51">
        <f t="shared" si="44"/>
        <v>0</v>
      </c>
      <c r="K89" s="54">
        <f t="shared" si="45"/>
        <v>0</v>
      </c>
      <c r="L89" s="54">
        <f t="shared" si="46"/>
        <v>0</v>
      </c>
      <c r="M89" s="54">
        <f t="shared" si="47"/>
        <v>0</v>
      </c>
      <c r="P89" s="50"/>
      <c r="Q89" s="50"/>
      <c r="R89" s="51">
        <f t="shared" si="48"/>
        <v>0</v>
      </c>
      <c r="U89" s="62" t="s">
        <v>90</v>
      </c>
      <c r="V89" s="63">
        <v>828225.62</v>
      </c>
    </row>
    <row r="90" spans="1:1024" ht="14.4">
      <c r="A90" s="49" t="s">
        <v>40</v>
      </c>
      <c r="B90" s="50"/>
      <c r="C90" s="50"/>
      <c r="D90" s="51">
        <f t="shared" si="42"/>
        <v>0</v>
      </c>
      <c r="E90" s="50"/>
      <c r="F90" s="50"/>
      <c r="G90" s="51">
        <f t="shared" si="43"/>
        <v>0</v>
      </c>
      <c r="H90" s="50"/>
      <c r="I90" s="50"/>
      <c r="J90" s="51">
        <f t="shared" si="44"/>
        <v>0</v>
      </c>
      <c r="K90" s="54">
        <f t="shared" si="45"/>
        <v>0</v>
      </c>
      <c r="L90" s="54">
        <f t="shared" si="46"/>
        <v>0</v>
      </c>
      <c r="M90" s="54">
        <f t="shared" si="47"/>
        <v>0</v>
      </c>
      <c r="P90" s="50"/>
      <c r="Q90" s="50"/>
      <c r="R90" s="51">
        <f t="shared" si="48"/>
        <v>0</v>
      </c>
      <c r="U90" s="62" t="s">
        <v>91</v>
      </c>
      <c r="V90" s="63">
        <v>633088.37</v>
      </c>
    </row>
    <row r="91" spans="1:1024" ht="14.4">
      <c r="A91" s="49" t="s">
        <v>41</v>
      </c>
      <c r="B91" s="50"/>
      <c r="C91" s="50"/>
      <c r="D91" s="51">
        <f t="shared" si="42"/>
        <v>0</v>
      </c>
      <c r="E91" s="50"/>
      <c r="F91" s="50"/>
      <c r="G91" s="51">
        <f t="shared" si="43"/>
        <v>0</v>
      </c>
      <c r="H91" s="50"/>
      <c r="I91" s="50"/>
      <c r="J91" s="51">
        <f t="shared" si="44"/>
        <v>0</v>
      </c>
      <c r="K91" s="54">
        <f t="shared" si="45"/>
        <v>0</v>
      </c>
      <c r="L91" s="54">
        <f t="shared" si="46"/>
        <v>0</v>
      </c>
      <c r="M91" s="54">
        <f t="shared" si="47"/>
        <v>0</v>
      </c>
      <c r="P91" s="50"/>
      <c r="Q91" s="50"/>
      <c r="R91" s="51">
        <f t="shared" si="48"/>
        <v>0</v>
      </c>
      <c r="U91" s="62" t="s">
        <v>92</v>
      </c>
      <c r="V91" s="63">
        <v>634094.05000000005</v>
      </c>
    </row>
    <row r="92" spans="1:1024" ht="14.4">
      <c r="A92" s="49" t="s">
        <v>43</v>
      </c>
      <c r="B92" s="10"/>
      <c r="C92" s="50"/>
      <c r="D92" s="51">
        <f t="shared" si="42"/>
        <v>0</v>
      </c>
      <c r="E92" s="50"/>
      <c r="F92" s="50"/>
      <c r="G92" s="51">
        <f t="shared" si="43"/>
        <v>0</v>
      </c>
      <c r="H92" s="50"/>
      <c r="I92" s="50"/>
      <c r="J92" s="51">
        <f t="shared" si="44"/>
        <v>0</v>
      </c>
      <c r="K92" s="54">
        <f t="shared" si="45"/>
        <v>0</v>
      </c>
      <c r="L92" s="54">
        <f t="shared" si="46"/>
        <v>0</v>
      </c>
      <c r="M92" s="54">
        <f t="shared" si="47"/>
        <v>0</v>
      </c>
      <c r="P92" s="50"/>
      <c r="Q92" s="50"/>
      <c r="R92" s="51">
        <f t="shared" si="48"/>
        <v>0</v>
      </c>
      <c r="U92" s="62" t="s">
        <v>93</v>
      </c>
      <c r="V92" s="63">
        <v>1060124.9099999999</v>
      </c>
    </row>
    <row r="93" spans="1:1024" ht="14.4">
      <c r="A93" s="49" t="s">
        <v>45</v>
      </c>
      <c r="B93" s="50"/>
      <c r="C93" s="50"/>
      <c r="D93" s="51">
        <f t="shared" si="42"/>
        <v>0</v>
      </c>
      <c r="E93" s="50"/>
      <c r="F93" s="50"/>
      <c r="G93" s="51">
        <f t="shared" si="43"/>
        <v>0</v>
      </c>
      <c r="H93" s="50"/>
      <c r="I93" s="50"/>
      <c r="J93" s="51">
        <f t="shared" si="44"/>
        <v>0</v>
      </c>
      <c r="K93" s="54">
        <f>H93+E93+B93</f>
        <v>0</v>
      </c>
      <c r="L93" s="54">
        <f>J93+K93</f>
        <v>0</v>
      </c>
      <c r="M93" s="54">
        <f t="shared" si="47"/>
        <v>0</v>
      </c>
      <c r="P93" s="50"/>
      <c r="Q93" s="50"/>
      <c r="R93" s="51">
        <f t="shared" si="48"/>
        <v>0</v>
      </c>
      <c r="U93" s="62" t="s">
        <v>94</v>
      </c>
      <c r="V93" s="63">
        <v>552302.27</v>
      </c>
    </row>
    <row r="94" spans="1:1024" ht="14.4">
      <c r="A94" s="49" t="s">
        <v>46</v>
      </c>
      <c r="B94" s="50"/>
      <c r="C94" s="50"/>
      <c r="D94" s="51">
        <f t="shared" si="42"/>
        <v>0</v>
      </c>
      <c r="E94" s="50"/>
      <c r="F94" s="50"/>
      <c r="G94" s="51">
        <f t="shared" si="43"/>
        <v>0</v>
      </c>
      <c r="H94" s="50"/>
      <c r="I94" s="50"/>
      <c r="J94" s="51">
        <f t="shared" si="44"/>
        <v>0</v>
      </c>
      <c r="K94" s="54">
        <f>H94+E94+B94</f>
        <v>0</v>
      </c>
      <c r="L94" s="54">
        <f>J94+K94</f>
        <v>0</v>
      </c>
      <c r="M94" s="54">
        <f t="shared" si="47"/>
        <v>0</v>
      </c>
      <c r="P94" s="50"/>
      <c r="Q94" s="50"/>
      <c r="R94" s="51">
        <f t="shared" si="48"/>
        <v>0</v>
      </c>
      <c r="U94" s="62" t="s">
        <v>95</v>
      </c>
      <c r="V94" s="63">
        <v>690686.55</v>
      </c>
    </row>
    <row r="95" spans="1:1024" ht="14.4">
      <c r="A95" s="53" t="s">
        <v>47</v>
      </c>
      <c r="B95" s="54">
        <f>SUM(B83:B94)</f>
        <v>12210.66</v>
      </c>
      <c r="C95" s="54">
        <f>SUM(C83:C94)</f>
        <v>0</v>
      </c>
      <c r="D95" s="54">
        <f t="shared" si="42"/>
        <v>12210.66</v>
      </c>
      <c r="E95" s="54">
        <f>SUM(E83:E94)</f>
        <v>0</v>
      </c>
      <c r="F95" s="54">
        <f>SUM(F83:F94)</f>
        <v>0</v>
      </c>
      <c r="G95" s="54">
        <f t="shared" si="43"/>
        <v>0</v>
      </c>
      <c r="H95" s="54">
        <f>SUM(H83:H94)</f>
        <v>3374895.91</v>
      </c>
      <c r="I95" s="54">
        <f>C95+F95</f>
        <v>0</v>
      </c>
      <c r="J95" s="54">
        <f t="shared" si="44"/>
        <v>3374895.91</v>
      </c>
      <c r="K95" s="54"/>
      <c r="L95" s="54">
        <f>J95+K95</f>
        <v>3374895.91</v>
      </c>
      <c r="M95" s="54">
        <f>SUM(M83:M94)</f>
        <v>3387106.57</v>
      </c>
      <c r="P95" s="54">
        <f>SUM(P83:P94)</f>
        <v>4598.2400000000007</v>
      </c>
      <c r="Q95" s="54">
        <f>SUM(Q83:Q94)</f>
        <v>0</v>
      </c>
      <c r="R95" s="54">
        <f t="shared" si="48"/>
        <v>4598.2400000000007</v>
      </c>
      <c r="U95" s="62" t="s">
        <v>96</v>
      </c>
      <c r="V95" s="3">
        <f>SUM(V83:V94)</f>
        <v>8357120.2399999993</v>
      </c>
    </row>
    <row r="96" spans="1:1024" ht="14.4">
      <c r="H96" s="3">
        <f>H89*0.85</f>
        <v>0</v>
      </c>
    </row>
    <row r="98" spans="1:1024" ht="18">
      <c r="A98" s="370" t="s">
        <v>97</v>
      </c>
      <c r="B98" s="370"/>
      <c r="C98" s="370"/>
      <c r="D98" s="370"/>
      <c r="E98" s="370"/>
      <c r="F98" s="370"/>
      <c r="G98" s="370"/>
      <c r="H98" s="370"/>
      <c r="I98" s="370"/>
      <c r="J98" s="370"/>
      <c r="K98" s="370"/>
      <c r="L98" s="370"/>
      <c r="M98" s="370"/>
    </row>
    <row r="99" spans="1:1024" ht="31.5" customHeight="1">
      <c r="A99" s="5"/>
      <c r="B99" s="374" t="s">
        <v>98</v>
      </c>
      <c r="C99" s="374"/>
      <c r="D99" s="374"/>
      <c r="E99" s="374" t="s">
        <v>99</v>
      </c>
      <c r="F99" s="374"/>
      <c r="G99" s="374"/>
      <c r="H99" s="374" t="s">
        <v>100</v>
      </c>
      <c r="I99" s="374"/>
      <c r="J99" s="374"/>
      <c r="K99" s="379" t="s">
        <v>101</v>
      </c>
      <c r="L99" s="379"/>
      <c r="M99" s="379"/>
      <c r="N99" s="59"/>
      <c r="O99" s="59"/>
      <c r="P99" s="20"/>
      <c r="Q99" s="20"/>
      <c r="R99" s="20"/>
      <c r="S99" s="20"/>
      <c r="T99" s="20"/>
      <c r="U99" s="20"/>
      <c r="V99" s="20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  <c r="ZA99" s="5"/>
      <c r="ZB99" s="5"/>
      <c r="ZC99" s="5"/>
      <c r="ZD99" s="5"/>
      <c r="ZE99" s="5"/>
      <c r="ZF99" s="5"/>
      <c r="ZG99" s="5"/>
      <c r="ZH99" s="5"/>
      <c r="ZI99" s="5"/>
      <c r="ZJ99" s="5"/>
      <c r="ZK99" s="5"/>
      <c r="ZL99" s="5"/>
      <c r="ZM99" s="5"/>
      <c r="ZN99" s="5"/>
      <c r="ZO99" s="5"/>
      <c r="ZP99" s="5"/>
      <c r="ZQ99" s="5"/>
      <c r="ZR99" s="5"/>
      <c r="ZS99" s="5"/>
      <c r="ZT99" s="5"/>
      <c r="ZU99" s="5"/>
      <c r="ZV99" s="5"/>
      <c r="ZW99" s="5"/>
      <c r="ZX99" s="5"/>
      <c r="ZY99" s="5"/>
      <c r="ZZ99" s="5"/>
      <c r="AAA99" s="5"/>
      <c r="AAB99" s="5"/>
      <c r="AAC99" s="5"/>
      <c r="AAD99" s="5"/>
      <c r="AAE99" s="5"/>
      <c r="AAF99" s="5"/>
      <c r="AAG99" s="5"/>
      <c r="AAH99" s="5"/>
      <c r="AAI99" s="5"/>
      <c r="AAJ99" s="5"/>
      <c r="AAK99" s="5"/>
      <c r="AAL99" s="5"/>
      <c r="AAM99" s="5"/>
      <c r="AAN99" s="5"/>
      <c r="AAO99" s="5"/>
      <c r="AAP99" s="5"/>
      <c r="AAQ99" s="5"/>
      <c r="AAR99" s="5"/>
      <c r="AAS99" s="5"/>
      <c r="AAT99" s="5"/>
      <c r="AAU99" s="5"/>
      <c r="AAV99" s="5"/>
      <c r="AAW99" s="5"/>
      <c r="AAX99" s="5"/>
      <c r="AAY99" s="5"/>
      <c r="AAZ99" s="5"/>
      <c r="ABA99" s="5"/>
      <c r="ABB99" s="5"/>
      <c r="ABC99" s="5"/>
      <c r="ABD99" s="5"/>
      <c r="ABE99" s="5"/>
      <c r="ABF99" s="5"/>
      <c r="ABG99" s="5"/>
      <c r="ABH99" s="5"/>
      <c r="ABI99" s="5"/>
      <c r="ABJ99" s="5"/>
      <c r="ABK99" s="5"/>
      <c r="ABL99" s="5"/>
      <c r="ABM99" s="5"/>
      <c r="ABN99" s="5"/>
      <c r="ABO99" s="5"/>
      <c r="ABP99" s="5"/>
      <c r="ABQ99" s="5"/>
      <c r="ABR99" s="5"/>
      <c r="ABS99" s="5"/>
      <c r="ABT99" s="5"/>
      <c r="ABU99" s="5"/>
      <c r="ABV99" s="5"/>
      <c r="ABW99" s="5"/>
      <c r="ABX99" s="5"/>
      <c r="ABY99" s="5"/>
      <c r="ABZ99" s="5"/>
      <c r="ACA99" s="5"/>
      <c r="ACB99" s="5"/>
      <c r="ACC99" s="5"/>
      <c r="ACD99" s="5"/>
      <c r="ACE99" s="5"/>
      <c r="ACF99" s="5"/>
      <c r="ACG99" s="5"/>
      <c r="ACH99" s="5"/>
      <c r="ACI99" s="5"/>
      <c r="ACJ99" s="5"/>
      <c r="ACK99" s="5"/>
      <c r="ACL99" s="5"/>
      <c r="ACM99" s="5"/>
      <c r="ACN99" s="5"/>
      <c r="ACO99" s="5"/>
      <c r="ACP99" s="5"/>
      <c r="ACQ99" s="5"/>
      <c r="ACR99" s="5"/>
      <c r="ACS99" s="5"/>
      <c r="ACT99" s="5"/>
      <c r="ACU99" s="5"/>
      <c r="ACV99" s="5"/>
      <c r="ACW99" s="5"/>
      <c r="ACX99" s="5"/>
      <c r="ACY99" s="5"/>
      <c r="ACZ99" s="5"/>
      <c r="ADA99" s="5"/>
      <c r="ADB99" s="5"/>
      <c r="ADC99" s="5"/>
      <c r="ADD99" s="5"/>
      <c r="ADE99" s="5"/>
      <c r="ADF99" s="5"/>
      <c r="ADG99" s="5"/>
      <c r="ADH99" s="5"/>
      <c r="ADI99" s="5"/>
      <c r="ADJ99" s="5"/>
      <c r="ADK99" s="5"/>
      <c r="ADL99" s="5"/>
      <c r="ADM99" s="5"/>
      <c r="ADN99" s="5"/>
      <c r="ADO99" s="5"/>
      <c r="ADP99" s="5"/>
      <c r="ADQ99" s="5"/>
      <c r="ADR99" s="5"/>
      <c r="ADS99" s="5"/>
      <c r="ADT99" s="5"/>
      <c r="ADU99" s="5"/>
      <c r="ADV99" s="5"/>
      <c r="ADW99" s="5"/>
      <c r="ADX99" s="5"/>
      <c r="ADY99" s="5"/>
      <c r="ADZ99" s="5"/>
      <c r="AEA99" s="5"/>
      <c r="AEB99" s="5"/>
      <c r="AEC99" s="5"/>
      <c r="AED99" s="5"/>
      <c r="AEE99" s="5"/>
      <c r="AEF99" s="5"/>
      <c r="AEG99" s="5"/>
      <c r="AEH99" s="5"/>
      <c r="AEI99" s="5"/>
      <c r="AEJ99" s="5"/>
      <c r="AEK99" s="5"/>
      <c r="AEL99" s="5"/>
      <c r="AEM99" s="5"/>
      <c r="AEN99" s="5"/>
      <c r="AEO99" s="5"/>
      <c r="AEP99" s="5"/>
      <c r="AEQ99" s="5"/>
      <c r="AER99" s="5"/>
      <c r="AES99" s="5"/>
      <c r="AET99" s="5"/>
      <c r="AEU99" s="5"/>
      <c r="AEV99" s="5"/>
      <c r="AEW99" s="5"/>
      <c r="AEX99" s="5"/>
      <c r="AEY99" s="5"/>
      <c r="AEZ99" s="5"/>
      <c r="AFA99" s="5"/>
      <c r="AFB99" s="5"/>
      <c r="AFC99" s="5"/>
      <c r="AFD99" s="5"/>
      <c r="AFE99" s="5"/>
      <c r="AFF99" s="5"/>
      <c r="AFG99" s="5"/>
      <c r="AFH99" s="5"/>
      <c r="AFI99" s="5"/>
      <c r="AFJ99" s="5"/>
      <c r="AFK99" s="5"/>
      <c r="AFL99" s="5"/>
      <c r="AFM99" s="5"/>
      <c r="AFN99" s="5"/>
      <c r="AFO99" s="5"/>
      <c r="AFP99" s="5"/>
      <c r="AFQ99" s="5"/>
      <c r="AFR99" s="5"/>
      <c r="AFS99" s="5"/>
      <c r="AFT99" s="5"/>
      <c r="AFU99" s="5"/>
      <c r="AFV99" s="5"/>
      <c r="AFW99" s="5"/>
      <c r="AFX99" s="5"/>
      <c r="AFY99" s="5"/>
      <c r="AFZ99" s="5"/>
      <c r="AGA99" s="5"/>
      <c r="AGB99" s="5"/>
      <c r="AGC99" s="5"/>
      <c r="AGD99" s="5"/>
      <c r="AGE99" s="5"/>
      <c r="AGF99" s="5"/>
      <c r="AGG99" s="5"/>
      <c r="AGH99" s="5"/>
      <c r="AGI99" s="5"/>
      <c r="AGJ99" s="5"/>
      <c r="AGK99" s="5"/>
      <c r="AGL99" s="5"/>
      <c r="AGM99" s="5"/>
      <c r="AGN99" s="5"/>
      <c r="AGO99" s="5"/>
      <c r="AGP99" s="5"/>
      <c r="AGQ99" s="5"/>
      <c r="AGR99" s="5"/>
      <c r="AGS99" s="5"/>
      <c r="AGT99" s="5"/>
      <c r="AGU99" s="5"/>
      <c r="AGV99" s="5"/>
      <c r="AGW99" s="5"/>
      <c r="AGX99" s="5"/>
      <c r="AGY99" s="5"/>
      <c r="AGZ99" s="5"/>
      <c r="AHA99" s="5"/>
      <c r="AHB99" s="5"/>
      <c r="AHC99" s="5"/>
      <c r="AHD99" s="5"/>
      <c r="AHE99" s="5"/>
      <c r="AHF99" s="5"/>
      <c r="AHG99" s="5"/>
      <c r="AHH99" s="5"/>
      <c r="AHI99" s="5"/>
      <c r="AHJ99" s="5"/>
      <c r="AHK99" s="5"/>
      <c r="AHL99" s="5"/>
      <c r="AHM99" s="5"/>
      <c r="AHN99" s="5"/>
      <c r="AHO99" s="5"/>
      <c r="AHP99" s="5"/>
      <c r="AHQ99" s="5"/>
      <c r="AHR99" s="5"/>
      <c r="AHS99" s="5"/>
      <c r="AHT99" s="5"/>
      <c r="AHU99" s="5"/>
      <c r="AHV99" s="5"/>
      <c r="AHW99" s="5"/>
      <c r="AHX99" s="5"/>
      <c r="AHY99" s="5"/>
      <c r="AHZ99" s="5"/>
      <c r="AIA99" s="5"/>
      <c r="AIB99" s="5"/>
      <c r="AIC99" s="5"/>
      <c r="AID99" s="5"/>
      <c r="AIE99" s="5"/>
      <c r="AIF99" s="5"/>
      <c r="AIG99" s="5"/>
      <c r="AIH99" s="5"/>
      <c r="AII99" s="5"/>
      <c r="AIJ99" s="5"/>
      <c r="AIK99" s="5"/>
      <c r="AIL99" s="5"/>
      <c r="AIM99" s="5"/>
      <c r="AIN99" s="5"/>
      <c r="AIO99" s="5"/>
      <c r="AIP99" s="5"/>
      <c r="AIQ99" s="5"/>
      <c r="AIR99" s="5"/>
      <c r="AIS99" s="5"/>
      <c r="AIT99" s="5"/>
      <c r="AIU99" s="5"/>
      <c r="AIV99" s="5"/>
      <c r="AIW99" s="5"/>
      <c r="AIX99" s="5"/>
      <c r="AIY99" s="5"/>
      <c r="AIZ99" s="5"/>
      <c r="AJA99" s="5"/>
      <c r="AJB99" s="5"/>
      <c r="AJC99" s="5"/>
      <c r="AJD99" s="5"/>
      <c r="AJE99" s="5"/>
      <c r="AJF99" s="5"/>
      <c r="AJG99" s="5"/>
      <c r="AJH99" s="5"/>
      <c r="AJI99" s="5"/>
      <c r="AJJ99" s="5"/>
      <c r="AJK99" s="5"/>
      <c r="AJL99" s="5"/>
      <c r="AJM99" s="5"/>
      <c r="AJN99" s="5"/>
      <c r="AJO99" s="5"/>
      <c r="AJP99" s="5"/>
      <c r="AJQ99" s="5"/>
      <c r="AJR99" s="5"/>
      <c r="AJS99" s="5"/>
      <c r="AJT99" s="5"/>
      <c r="AJU99" s="5"/>
      <c r="AJV99" s="5"/>
      <c r="AJW99" s="5"/>
      <c r="AJX99" s="5"/>
      <c r="AJY99" s="5"/>
      <c r="AJZ99" s="5"/>
      <c r="AKA99" s="5"/>
      <c r="AKB99" s="5"/>
      <c r="AKC99" s="5"/>
      <c r="AKD99" s="5"/>
      <c r="AKE99" s="5"/>
      <c r="AKF99" s="5"/>
      <c r="AKG99" s="5"/>
      <c r="AKH99" s="5"/>
      <c r="AKI99" s="5"/>
      <c r="AKJ99" s="5"/>
      <c r="AKK99" s="5"/>
      <c r="AKL99" s="5"/>
      <c r="AKM99" s="5"/>
      <c r="AKN99" s="5"/>
      <c r="AKO99" s="5"/>
      <c r="AKP99" s="5"/>
      <c r="AKQ99" s="5"/>
      <c r="AKR99" s="5"/>
      <c r="AKS99" s="5"/>
      <c r="AKT99" s="5"/>
      <c r="AKU99" s="5"/>
      <c r="AKV99" s="5"/>
      <c r="AKW99" s="5"/>
      <c r="AKX99" s="5"/>
      <c r="AKY99" s="5"/>
      <c r="AKZ99" s="5"/>
      <c r="ALA99" s="5"/>
      <c r="ALB99" s="5"/>
      <c r="ALC99" s="5"/>
      <c r="ALD99" s="5"/>
      <c r="ALE99" s="5"/>
      <c r="ALF99" s="5"/>
      <c r="ALG99" s="5"/>
      <c r="ALH99" s="5"/>
      <c r="ALI99" s="5"/>
      <c r="ALJ99" s="5"/>
      <c r="ALK99" s="5"/>
      <c r="ALL99" s="5"/>
      <c r="ALM99" s="5"/>
      <c r="ALN99" s="5"/>
      <c r="ALO99" s="5"/>
      <c r="ALP99" s="5"/>
      <c r="ALQ99" s="5"/>
      <c r="ALR99" s="5"/>
      <c r="ALS99" s="5"/>
      <c r="ALT99" s="5"/>
      <c r="ALU99" s="5"/>
      <c r="ALV99" s="5"/>
      <c r="ALW99" s="5"/>
      <c r="ALX99" s="5"/>
      <c r="ALY99" s="5"/>
      <c r="ALZ99" s="5"/>
      <c r="AMA99" s="5"/>
      <c r="AMB99" s="5"/>
      <c r="AMC99" s="5"/>
      <c r="AMD99" s="5"/>
      <c r="AME99" s="5"/>
      <c r="AMF99" s="5"/>
      <c r="AMG99" s="5"/>
      <c r="AMH99" s="5"/>
      <c r="AMI99" s="5"/>
      <c r="AMJ99" s="5"/>
    </row>
    <row r="100" spans="1:1024" ht="14.4">
      <c r="A100" s="49" t="s">
        <v>9</v>
      </c>
      <c r="B100" s="48" t="s">
        <v>10</v>
      </c>
      <c r="C100" s="48" t="s">
        <v>11</v>
      </c>
      <c r="D100" s="48" t="s">
        <v>12</v>
      </c>
      <c r="E100" s="48" t="s">
        <v>10</v>
      </c>
      <c r="F100" s="48" t="s">
        <v>11</v>
      </c>
      <c r="G100" s="48" t="s">
        <v>12</v>
      </c>
      <c r="H100" s="48" t="s">
        <v>10</v>
      </c>
      <c r="I100" s="48" t="s">
        <v>11</v>
      </c>
      <c r="J100" s="48" t="s">
        <v>12</v>
      </c>
      <c r="K100" s="61" t="s">
        <v>10</v>
      </c>
      <c r="L100" s="61" t="s">
        <v>11</v>
      </c>
      <c r="M100" s="61" t="s">
        <v>12</v>
      </c>
      <c r="N100" s="9"/>
      <c r="O100" s="9"/>
    </row>
    <row r="101" spans="1:1024" ht="14.4">
      <c r="A101" s="49" t="s">
        <v>25</v>
      </c>
      <c r="B101" s="50">
        <v>0</v>
      </c>
      <c r="C101" s="50">
        <v>0</v>
      </c>
      <c r="D101" s="51">
        <f t="shared" ref="D101:D113" si="49">B101+C101</f>
        <v>0</v>
      </c>
      <c r="E101" s="50">
        <v>0</v>
      </c>
      <c r="F101" s="50">
        <v>0</v>
      </c>
      <c r="G101" s="51">
        <f t="shared" ref="G101:G113" si="50">E101+F101</f>
        <v>0</v>
      </c>
      <c r="H101" s="50">
        <v>0</v>
      </c>
      <c r="I101" s="50">
        <v>0</v>
      </c>
      <c r="J101" s="51">
        <f t="shared" ref="J101:J113" si="51">H101+I101</f>
        <v>0</v>
      </c>
      <c r="K101" s="54">
        <f t="shared" ref="K101:L108" si="52">H101+E101+B101</f>
        <v>0</v>
      </c>
      <c r="L101" s="54">
        <f t="shared" si="52"/>
        <v>0</v>
      </c>
      <c r="M101" s="54">
        <f t="shared" ref="M101:M112" si="53">K101+L101</f>
        <v>0</v>
      </c>
    </row>
    <row r="102" spans="1:1024" ht="14.4">
      <c r="A102" s="49" t="s">
        <v>27</v>
      </c>
      <c r="B102" s="50"/>
      <c r="C102" s="50"/>
      <c r="D102" s="51">
        <f t="shared" si="49"/>
        <v>0</v>
      </c>
      <c r="E102" s="50">
        <v>0</v>
      </c>
      <c r="F102" s="50">
        <v>0</v>
      </c>
      <c r="G102" s="51">
        <f t="shared" si="50"/>
        <v>0</v>
      </c>
      <c r="H102" s="50">
        <v>0</v>
      </c>
      <c r="I102" s="50">
        <v>0</v>
      </c>
      <c r="J102" s="51">
        <f t="shared" si="51"/>
        <v>0</v>
      </c>
      <c r="K102" s="54">
        <f t="shared" si="52"/>
        <v>0</v>
      </c>
      <c r="L102" s="54">
        <f t="shared" si="52"/>
        <v>0</v>
      </c>
      <c r="M102" s="54">
        <f t="shared" si="53"/>
        <v>0</v>
      </c>
    </row>
    <row r="103" spans="1:1024" ht="14.4">
      <c r="A103" s="49" t="s">
        <v>30</v>
      </c>
      <c r="B103" s="50"/>
      <c r="C103" s="50"/>
      <c r="D103" s="51">
        <f t="shared" si="49"/>
        <v>0</v>
      </c>
      <c r="E103" s="50"/>
      <c r="F103" s="50"/>
      <c r="G103" s="51">
        <f t="shared" si="50"/>
        <v>0</v>
      </c>
      <c r="H103" s="50">
        <f t="shared" ref="H103:I108" si="54">B103+E103</f>
        <v>0</v>
      </c>
      <c r="I103" s="50">
        <f t="shared" si="54"/>
        <v>0</v>
      </c>
      <c r="J103" s="51">
        <f t="shared" si="51"/>
        <v>0</v>
      </c>
      <c r="K103" s="54">
        <f t="shared" si="52"/>
        <v>0</v>
      </c>
      <c r="L103" s="54">
        <f t="shared" si="52"/>
        <v>0</v>
      </c>
      <c r="M103" s="54">
        <f t="shared" si="53"/>
        <v>0</v>
      </c>
    </row>
    <row r="104" spans="1:1024" ht="14.4">
      <c r="A104" s="49" t="s">
        <v>33</v>
      </c>
      <c r="B104" s="50"/>
      <c r="C104" s="50"/>
      <c r="D104" s="51">
        <f t="shared" si="49"/>
        <v>0</v>
      </c>
      <c r="E104" s="50"/>
      <c r="F104" s="50"/>
      <c r="G104" s="51">
        <f t="shared" si="50"/>
        <v>0</v>
      </c>
      <c r="H104" s="50">
        <f t="shared" si="54"/>
        <v>0</v>
      </c>
      <c r="I104" s="50">
        <f t="shared" si="54"/>
        <v>0</v>
      </c>
      <c r="J104" s="51">
        <f t="shared" si="51"/>
        <v>0</v>
      </c>
      <c r="K104" s="54">
        <f t="shared" si="52"/>
        <v>0</v>
      </c>
      <c r="L104" s="54">
        <f t="shared" si="52"/>
        <v>0</v>
      </c>
      <c r="M104" s="54">
        <f t="shared" si="53"/>
        <v>0</v>
      </c>
    </row>
    <row r="105" spans="1:1024" ht="14.4">
      <c r="A105" s="49" t="s">
        <v>35</v>
      </c>
      <c r="B105" s="50"/>
      <c r="C105" s="50"/>
      <c r="D105" s="51">
        <f t="shared" si="49"/>
        <v>0</v>
      </c>
      <c r="E105" s="50"/>
      <c r="F105" s="50"/>
      <c r="G105" s="51">
        <f t="shared" si="50"/>
        <v>0</v>
      </c>
      <c r="H105" s="50">
        <f t="shared" si="54"/>
        <v>0</v>
      </c>
      <c r="I105" s="50">
        <f t="shared" si="54"/>
        <v>0</v>
      </c>
      <c r="J105" s="51">
        <f t="shared" si="51"/>
        <v>0</v>
      </c>
      <c r="K105" s="54">
        <f t="shared" si="52"/>
        <v>0</v>
      </c>
      <c r="L105" s="54">
        <f t="shared" si="52"/>
        <v>0</v>
      </c>
      <c r="M105" s="54">
        <f t="shared" si="53"/>
        <v>0</v>
      </c>
    </row>
    <row r="106" spans="1:1024" ht="14.4">
      <c r="A106" s="49" t="s">
        <v>37</v>
      </c>
      <c r="B106" s="50"/>
      <c r="C106" s="50"/>
      <c r="D106" s="51">
        <f t="shared" si="49"/>
        <v>0</v>
      </c>
      <c r="E106" s="50"/>
      <c r="F106" s="50"/>
      <c r="G106" s="51">
        <f t="shared" si="50"/>
        <v>0</v>
      </c>
      <c r="H106" s="50">
        <f t="shared" si="54"/>
        <v>0</v>
      </c>
      <c r="I106" s="50">
        <f t="shared" si="54"/>
        <v>0</v>
      </c>
      <c r="J106" s="51">
        <f t="shared" si="51"/>
        <v>0</v>
      </c>
      <c r="K106" s="54">
        <f t="shared" si="52"/>
        <v>0</v>
      </c>
      <c r="L106" s="54">
        <f t="shared" si="52"/>
        <v>0</v>
      </c>
      <c r="M106" s="54">
        <f t="shared" si="53"/>
        <v>0</v>
      </c>
    </row>
    <row r="107" spans="1:1024" ht="14.4">
      <c r="A107" s="49" t="s">
        <v>39</v>
      </c>
      <c r="B107" s="50"/>
      <c r="C107" s="50"/>
      <c r="D107" s="51">
        <f t="shared" si="49"/>
        <v>0</v>
      </c>
      <c r="E107" s="50"/>
      <c r="F107" s="50"/>
      <c r="G107" s="51">
        <f t="shared" si="50"/>
        <v>0</v>
      </c>
      <c r="H107" s="50">
        <f t="shared" si="54"/>
        <v>0</v>
      </c>
      <c r="I107" s="50">
        <f t="shared" si="54"/>
        <v>0</v>
      </c>
      <c r="J107" s="51">
        <f t="shared" si="51"/>
        <v>0</v>
      </c>
      <c r="K107" s="54">
        <f t="shared" si="52"/>
        <v>0</v>
      </c>
      <c r="L107" s="54">
        <f t="shared" si="52"/>
        <v>0</v>
      </c>
      <c r="M107" s="54">
        <f t="shared" si="53"/>
        <v>0</v>
      </c>
    </row>
    <row r="108" spans="1:1024" ht="14.4">
      <c r="A108" s="49" t="s">
        <v>40</v>
      </c>
      <c r="B108" s="50"/>
      <c r="C108" s="50"/>
      <c r="D108" s="51">
        <f t="shared" si="49"/>
        <v>0</v>
      </c>
      <c r="E108" s="50"/>
      <c r="F108" s="50"/>
      <c r="G108" s="51">
        <f t="shared" si="50"/>
        <v>0</v>
      </c>
      <c r="H108" s="50">
        <f t="shared" si="54"/>
        <v>0</v>
      </c>
      <c r="I108" s="50">
        <f t="shared" si="54"/>
        <v>0</v>
      </c>
      <c r="J108" s="51">
        <f t="shared" si="51"/>
        <v>0</v>
      </c>
      <c r="K108" s="54">
        <f t="shared" si="52"/>
        <v>0</v>
      </c>
      <c r="L108" s="54">
        <f t="shared" si="52"/>
        <v>0</v>
      </c>
      <c r="M108" s="54">
        <f t="shared" si="53"/>
        <v>0</v>
      </c>
    </row>
    <row r="109" spans="1:1024" ht="14.4">
      <c r="A109" s="49" t="s">
        <v>41</v>
      </c>
      <c r="B109" s="50"/>
      <c r="C109" s="50"/>
      <c r="D109" s="51">
        <f t="shared" si="49"/>
        <v>0</v>
      </c>
      <c r="E109" s="50"/>
      <c r="F109" s="50"/>
      <c r="G109" s="51">
        <f t="shared" si="50"/>
        <v>0</v>
      </c>
      <c r="H109" s="50">
        <v>0</v>
      </c>
      <c r="I109" s="50">
        <f>C109+F109</f>
        <v>0</v>
      </c>
      <c r="J109" s="51">
        <f t="shared" si="51"/>
        <v>0</v>
      </c>
      <c r="K109" s="54">
        <f>H109+E109+B109</f>
        <v>0</v>
      </c>
      <c r="L109" s="54">
        <f>J109+K109</f>
        <v>0</v>
      </c>
      <c r="M109" s="54">
        <f t="shared" si="53"/>
        <v>0</v>
      </c>
    </row>
    <row r="110" spans="1:1024" ht="14.4">
      <c r="A110" s="49" t="s">
        <v>43</v>
      </c>
      <c r="B110" s="50"/>
      <c r="C110" s="50"/>
      <c r="D110" s="51">
        <f t="shared" si="49"/>
        <v>0</v>
      </c>
      <c r="E110" s="50"/>
      <c r="F110" s="50"/>
      <c r="G110" s="51">
        <f t="shared" si="50"/>
        <v>0</v>
      </c>
      <c r="H110" s="50">
        <f>B110+E110</f>
        <v>0</v>
      </c>
      <c r="I110" s="50">
        <f>C110+F110</f>
        <v>0</v>
      </c>
      <c r="J110" s="51">
        <f t="shared" si="51"/>
        <v>0</v>
      </c>
      <c r="K110" s="54">
        <f>H110+E110+B110</f>
        <v>0</v>
      </c>
      <c r="L110" s="54">
        <f>J110+K110</f>
        <v>0</v>
      </c>
      <c r="M110" s="54">
        <f t="shared" si="53"/>
        <v>0</v>
      </c>
    </row>
    <row r="111" spans="1:1024" ht="14.4">
      <c r="A111" s="49" t="s">
        <v>45</v>
      </c>
      <c r="B111" s="50"/>
      <c r="C111" s="50"/>
      <c r="D111" s="51">
        <f t="shared" si="49"/>
        <v>0</v>
      </c>
      <c r="E111" s="50"/>
      <c r="F111" s="50"/>
      <c r="G111" s="51">
        <f t="shared" si="50"/>
        <v>0</v>
      </c>
      <c r="H111" s="50">
        <f>B111+E111</f>
        <v>0</v>
      </c>
      <c r="I111" s="50">
        <f>C111+F111</f>
        <v>0</v>
      </c>
      <c r="J111" s="51">
        <f t="shared" si="51"/>
        <v>0</v>
      </c>
      <c r="K111" s="54">
        <f>H111+E111+B111</f>
        <v>0</v>
      </c>
      <c r="L111" s="54">
        <f>J111+K111</f>
        <v>0</v>
      </c>
      <c r="M111" s="54">
        <f t="shared" si="53"/>
        <v>0</v>
      </c>
    </row>
    <row r="112" spans="1:1024" ht="14.4">
      <c r="A112" s="49" t="s">
        <v>46</v>
      </c>
      <c r="B112" s="50"/>
      <c r="C112" s="50"/>
      <c r="D112" s="51">
        <f t="shared" si="49"/>
        <v>0</v>
      </c>
      <c r="E112" s="50"/>
      <c r="F112" s="50"/>
      <c r="G112" s="51">
        <f t="shared" si="50"/>
        <v>0</v>
      </c>
      <c r="H112" s="50">
        <f>B112+E112</f>
        <v>0</v>
      </c>
      <c r="I112" s="50">
        <f>C112+F112</f>
        <v>0</v>
      </c>
      <c r="J112" s="51">
        <f t="shared" si="51"/>
        <v>0</v>
      </c>
      <c r="K112" s="54">
        <f>H112+E112+B112</f>
        <v>0</v>
      </c>
      <c r="L112" s="54">
        <f>J112+K112</f>
        <v>0</v>
      </c>
      <c r="M112" s="54">
        <f t="shared" si="53"/>
        <v>0</v>
      </c>
    </row>
    <row r="113" spans="1:1024" ht="14.4">
      <c r="A113" s="53" t="s">
        <v>47</v>
      </c>
      <c r="B113" s="54">
        <f>SUM(B101:B112)</f>
        <v>0</v>
      </c>
      <c r="C113" s="54">
        <f>SUM(C101:C112)</f>
        <v>0</v>
      </c>
      <c r="D113" s="54">
        <f t="shared" si="49"/>
        <v>0</v>
      </c>
      <c r="E113" s="54">
        <f>SUM(E101:E112)</f>
        <v>0</v>
      </c>
      <c r="F113" s="54">
        <f>SUM(F101:F112)</f>
        <v>0</v>
      </c>
      <c r="G113" s="54">
        <f t="shared" si="50"/>
        <v>0</v>
      </c>
      <c r="H113" s="54">
        <f>B113+E113</f>
        <v>0</v>
      </c>
      <c r="I113" s="54">
        <f>C113+F113</f>
        <v>0</v>
      </c>
      <c r="J113" s="54">
        <f t="shared" si="51"/>
        <v>0</v>
      </c>
      <c r="K113" s="54"/>
      <c r="L113" s="54">
        <f>J113+K113</f>
        <v>0</v>
      </c>
      <c r="M113" s="54">
        <f>SUM(M101:M112)</f>
        <v>0</v>
      </c>
    </row>
    <row r="116" spans="1:1024" ht="18">
      <c r="A116" s="370" t="s">
        <v>102</v>
      </c>
      <c r="B116" s="370"/>
      <c r="C116" s="370"/>
      <c r="D116" s="370"/>
      <c r="E116" s="55"/>
      <c r="F116" s="55"/>
      <c r="G116" s="55"/>
      <c r="H116" s="370" t="s">
        <v>103</v>
      </c>
      <c r="I116" s="370"/>
      <c r="J116" s="370"/>
      <c r="K116" s="370"/>
      <c r="L116" s="55"/>
      <c r="M116" s="55"/>
    </row>
    <row r="117" spans="1:1024" ht="31.5" customHeight="1">
      <c r="A117" s="5"/>
      <c r="B117" s="374" t="s">
        <v>102</v>
      </c>
      <c r="C117" s="374"/>
      <c r="D117" s="374"/>
      <c r="E117" s="65" t="s">
        <v>104</v>
      </c>
      <c r="F117" s="65"/>
      <c r="G117" s="65"/>
      <c r="H117" s="5"/>
      <c r="I117" s="374" t="s">
        <v>103</v>
      </c>
      <c r="J117" s="374"/>
      <c r="K117" s="374"/>
      <c r="L117" s="59"/>
      <c r="M117" s="59"/>
      <c r="N117" s="59"/>
      <c r="O117" s="59"/>
      <c r="P117" s="20"/>
      <c r="Q117" s="20"/>
      <c r="R117" s="20"/>
      <c r="S117" s="20"/>
      <c r="T117" s="20"/>
      <c r="U117" s="20"/>
      <c r="V117" s="20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  <c r="AGB117" s="5"/>
      <c r="AGC117" s="5"/>
      <c r="AGD117" s="5"/>
      <c r="AGE117" s="5"/>
      <c r="AGF117" s="5"/>
      <c r="AGG117" s="5"/>
      <c r="AGH117" s="5"/>
      <c r="AGI117" s="5"/>
      <c r="AGJ117" s="5"/>
      <c r="AGK117" s="5"/>
      <c r="AGL117" s="5"/>
      <c r="AGM117" s="5"/>
      <c r="AGN117" s="5"/>
      <c r="AGO117" s="5"/>
      <c r="AGP117" s="5"/>
      <c r="AGQ117" s="5"/>
      <c r="AGR117" s="5"/>
      <c r="AGS117" s="5"/>
      <c r="AGT117" s="5"/>
      <c r="AGU117" s="5"/>
      <c r="AGV117" s="5"/>
      <c r="AGW117" s="5"/>
      <c r="AGX117" s="5"/>
      <c r="AGY117" s="5"/>
      <c r="AGZ117" s="5"/>
      <c r="AHA117" s="5"/>
      <c r="AHB117" s="5"/>
      <c r="AHC117" s="5"/>
      <c r="AHD117" s="5"/>
      <c r="AHE117" s="5"/>
      <c r="AHF117" s="5"/>
      <c r="AHG117" s="5"/>
      <c r="AHH117" s="5"/>
      <c r="AHI117" s="5"/>
      <c r="AHJ117" s="5"/>
      <c r="AHK117" s="5"/>
      <c r="AHL117" s="5"/>
      <c r="AHM117" s="5"/>
      <c r="AHN117" s="5"/>
      <c r="AHO117" s="5"/>
      <c r="AHP117" s="5"/>
      <c r="AHQ117" s="5"/>
      <c r="AHR117" s="5"/>
      <c r="AHS117" s="5"/>
      <c r="AHT117" s="5"/>
      <c r="AHU117" s="5"/>
      <c r="AHV117" s="5"/>
      <c r="AHW117" s="5"/>
      <c r="AHX117" s="5"/>
      <c r="AHY117" s="5"/>
      <c r="AHZ117" s="5"/>
      <c r="AIA117" s="5"/>
      <c r="AIB117" s="5"/>
      <c r="AIC117" s="5"/>
      <c r="AID117" s="5"/>
      <c r="AIE117" s="5"/>
      <c r="AIF117" s="5"/>
      <c r="AIG117" s="5"/>
      <c r="AIH117" s="5"/>
      <c r="AII117" s="5"/>
      <c r="AIJ117" s="5"/>
      <c r="AIK117" s="5"/>
      <c r="AIL117" s="5"/>
      <c r="AIM117" s="5"/>
      <c r="AIN117" s="5"/>
      <c r="AIO117" s="5"/>
      <c r="AIP117" s="5"/>
      <c r="AIQ117" s="5"/>
      <c r="AIR117" s="5"/>
      <c r="AIS117" s="5"/>
      <c r="AIT117" s="5"/>
      <c r="AIU117" s="5"/>
      <c r="AIV117" s="5"/>
      <c r="AIW117" s="5"/>
      <c r="AIX117" s="5"/>
      <c r="AIY117" s="5"/>
      <c r="AIZ117" s="5"/>
      <c r="AJA117" s="5"/>
      <c r="AJB117" s="5"/>
      <c r="AJC117" s="5"/>
      <c r="AJD117" s="5"/>
      <c r="AJE117" s="5"/>
      <c r="AJF117" s="5"/>
      <c r="AJG117" s="5"/>
      <c r="AJH117" s="5"/>
      <c r="AJI117" s="5"/>
      <c r="AJJ117" s="5"/>
      <c r="AJK117" s="5"/>
      <c r="AJL117" s="5"/>
      <c r="AJM117" s="5"/>
      <c r="AJN117" s="5"/>
      <c r="AJO117" s="5"/>
      <c r="AJP117" s="5"/>
      <c r="AJQ117" s="5"/>
      <c r="AJR117" s="5"/>
      <c r="AJS117" s="5"/>
      <c r="AJT117" s="5"/>
      <c r="AJU117" s="5"/>
      <c r="AJV117" s="5"/>
      <c r="AJW117" s="5"/>
      <c r="AJX117" s="5"/>
      <c r="AJY117" s="5"/>
      <c r="AJZ117" s="5"/>
      <c r="AKA117" s="5"/>
      <c r="AKB117" s="5"/>
      <c r="AKC117" s="5"/>
      <c r="AKD117" s="5"/>
      <c r="AKE117" s="5"/>
      <c r="AKF117" s="5"/>
      <c r="AKG117" s="5"/>
      <c r="AKH117" s="5"/>
      <c r="AKI117" s="5"/>
      <c r="AKJ117" s="5"/>
      <c r="AKK117" s="5"/>
      <c r="AKL117" s="5"/>
      <c r="AKM117" s="5"/>
      <c r="AKN117" s="5"/>
      <c r="AKO117" s="5"/>
      <c r="AKP117" s="5"/>
      <c r="AKQ117" s="5"/>
      <c r="AKR117" s="5"/>
      <c r="AKS117" s="5"/>
      <c r="AKT117" s="5"/>
      <c r="AKU117" s="5"/>
      <c r="AKV117" s="5"/>
      <c r="AKW117" s="5"/>
      <c r="AKX117" s="5"/>
      <c r="AKY117" s="5"/>
      <c r="AKZ117" s="5"/>
      <c r="ALA117" s="5"/>
      <c r="ALB117" s="5"/>
      <c r="ALC117" s="5"/>
      <c r="ALD117" s="5"/>
      <c r="ALE117" s="5"/>
      <c r="ALF117" s="5"/>
      <c r="ALG117" s="5"/>
      <c r="ALH117" s="5"/>
      <c r="ALI117" s="5"/>
      <c r="ALJ117" s="5"/>
      <c r="ALK117" s="5"/>
      <c r="ALL117" s="5"/>
      <c r="ALM117" s="5"/>
      <c r="ALN117" s="5"/>
      <c r="ALO117" s="5"/>
      <c r="ALP117" s="5"/>
      <c r="ALQ117" s="5"/>
      <c r="ALR117" s="5"/>
      <c r="ALS117" s="5"/>
      <c r="ALT117" s="5"/>
      <c r="ALU117" s="5"/>
      <c r="ALV117" s="5"/>
      <c r="ALW117" s="5"/>
      <c r="ALX117" s="5"/>
      <c r="ALY117" s="5"/>
      <c r="ALZ117" s="5"/>
      <c r="AMA117" s="5"/>
      <c r="AMB117" s="5"/>
      <c r="AMC117" s="5"/>
      <c r="AMD117" s="5"/>
      <c r="AME117" s="5"/>
      <c r="AMF117" s="5"/>
      <c r="AMG117" s="5"/>
      <c r="AMH117" s="5"/>
      <c r="AMI117" s="5"/>
      <c r="AMJ117" s="5"/>
    </row>
    <row r="118" spans="1:1024" ht="14.4">
      <c r="A118" s="49" t="s">
        <v>9</v>
      </c>
      <c r="B118" s="48" t="s">
        <v>10</v>
      </c>
      <c r="C118" s="48" t="s">
        <v>11</v>
      </c>
      <c r="D118" s="48" t="s">
        <v>12</v>
      </c>
      <c r="E118" s="66"/>
      <c r="F118" s="9"/>
      <c r="G118" s="9"/>
      <c r="H118" s="49" t="s">
        <v>9</v>
      </c>
      <c r="I118" s="48" t="s">
        <v>10</v>
      </c>
      <c r="J118" s="48" t="s">
        <v>11</v>
      </c>
      <c r="K118" s="48" t="s">
        <v>12</v>
      </c>
      <c r="L118" s="9"/>
      <c r="M118" s="9"/>
      <c r="N118" s="9"/>
      <c r="O118" s="9"/>
    </row>
    <row r="119" spans="1:1024" ht="18">
      <c r="A119" s="49" t="s">
        <v>25</v>
      </c>
      <c r="B119" s="50">
        <v>53169.26</v>
      </c>
      <c r="C119" s="50">
        <v>0</v>
      </c>
      <c r="D119" s="51">
        <f>(B119+C119)*0.8-0.01</f>
        <v>42535.398000000001</v>
      </c>
      <c r="E119" s="67">
        <f t="shared" ref="E119:E130" si="55">D119*0.2</f>
        <v>8507.0796000000009</v>
      </c>
      <c r="F119" s="3">
        <f>D119*0.2</f>
        <v>8507.0796000000009</v>
      </c>
      <c r="H119" s="49" t="s">
        <v>25</v>
      </c>
      <c r="I119" s="50">
        <v>82538.8</v>
      </c>
      <c r="J119" s="50"/>
      <c r="K119" s="51">
        <f t="shared" ref="K119:K131" si="56">I119+J119</f>
        <v>82538.8</v>
      </c>
      <c r="N119" s="68"/>
      <c r="O119" s="68"/>
      <c r="P119" s="69">
        <v>2023</v>
      </c>
      <c r="Q119" s="69">
        <v>2024</v>
      </c>
    </row>
    <row r="120" spans="1:1024" ht="18">
      <c r="A120" s="49" t="s">
        <v>27</v>
      </c>
      <c r="B120" s="10">
        <v>2277.2600000000002</v>
      </c>
      <c r="C120" s="50"/>
      <c r="D120" s="51">
        <f>(B120+C120)*0.8+0.01</f>
        <v>1821.8180000000002</v>
      </c>
      <c r="E120" s="67">
        <f t="shared" si="55"/>
        <v>364.36360000000008</v>
      </c>
      <c r="H120" s="49" t="s">
        <v>27</v>
      </c>
      <c r="I120" s="50">
        <v>109051.76</v>
      </c>
      <c r="J120" s="50">
        <v>1524.57</v>
      </c>
      <c r="K120" s="51">
        <f t="shared" si="56"/>
        <v>110576.33</v>
      </c>
      <c r="N120" s="383" t="s">
        <v>105</v>
      </c>
      <c r="O120" s="383"/>
      <c r="P120" s="68">
        <f>I120+B120+K102+K84+G64+AF46+M27+H27+B7+E7+M7</f>
        <v>23623867.039999999</v>
      </c>
      <c r="Q120" s="68">
        <f>B6+E6+M6+B26+M26+AF45+E63+H83+K101+B119+I119</f>
        <v>20356682.330000002</v>
      </c>
    </row>
    <row r="121" spans="1:1024" ht="18">
      <c r="A121" s="49" t="s">
        <v>30</v>
      </c>
      <c r="B121" s="10"/>
      <c r="C121" s="50"/>
      <c r="D121" s="51">
        <f t="shared" ref="D121:D130" si="57">(B121+C121)*0.8</f>
        <v>0</v>
      </c>
      <c r="E121" s="67">
        <f t="shared" si="55"/>
        <v>0</v>
      </c>
      <c r="F121" s="3">
        <f>D121*0.2</f>
        <v>0</v>
      </c>
      <c r="H121" s="49" t="s">
        <v>30</v>
      </c>
      <c r="I121" s="52">
        <v>40266.32</v>
      </c>
      <c r="J121" s="50"/>
      <c r="K121" s="51">
        <f t="shared" si="56"/>
        <v>40266.32</v>
      </c>
      <c r="N121" s="383" t="s">
        <v>106</v>
      </c>
      <c r="O121" s="383"/>
      <c r="P121" s="68">
        <f>P120-H84</f>
        <v>22381617.349999998</v>
      </c>
      <c r="Q121" s="68">
        <f>Q120-H83</f>
        <v>18945613.610000003</v>
      </c>
    </row>
    <row r="122" spans="1:1024" ht="14.4">
      <c r="A122" s="49" t="s">
        <v>33</v>
      </c>
      <c r="B122" s="50"/>
      <c r="C122" s="50"/>
      <c r="D122" s="51">
        <f t="shared" si="57"/>
        <v>0</v>
      </c>
      <c r="E122" s="67">
        <f t="shared" si="55"/>
        <v>0</v>
      </c>
      <c r="H122" s="49" t="s">
        <v>33</v>
      </c>
      <c r="I122" s="50"/>
      <c r="J122" s="50"/>
      <c r="K122" s="51">
        <f t="shared" si="56"/>
        <v>0</v>
      </c>
    </row>
    <row r="123" spans="1:1024" ht="14.4">
      <c r="A123" s="49" t="s">
        <v>35</v>
      </c>
      <c r="B123" s="50"/>
      <c r="C123" s="50"/>
      <c r="D123" s="51">
        <f t="shared" si="57"/>
        <v>0</v>
      </c>
      <c r="E123" s="67">
        <f t="shared" si="55"/>
        <v>0</v>
      </c>
      <c r="H123" s="49" t="s">
        <v>35</v>
      </c>
      <c r="I123" s="50"/>
      <c r="J123" s="50"/>
      <c r="K123" s="51">
        <f t="shared" si="56"/>
        <v>0</v>
      </c>
    </row>
    <row r="124" spans="1:1024" ht="14.4">
      <c r="A124" s="49" t="s">
        <v>37</v>
      </c>
      <c r="B124" s="50"/>
      <c r="C124" s="50"/>
      <c r="D124" s="51">
        <f t="shared" si="57"/>
        <v>0</v>
      </c>
      <c r="E124" s="67">
        <f t="shared" si="55"/>
        <v>0</v>
      </c>
      <c r="H124" s="49" t="s">
        <v>37</v>
      </c>
      <c r="I124" s="50"/>
      <c r="J124" s="50"/>
      <c r="K124" s="51">
        <f t="shared" si="56"/>
        <v>0</v>
      </c>
    </row>
    <row r="125" spans="1:1024" ht="14.4">
      <c r="A125" s="49" t="s">
        <v>39</v>
      </c>
      <c r="B125" s="50"/>
      <c r="C125" s="50"/>
      <c r="D125" s="51">
        <f t="shared" si="57"/>
        <v>0</v>
      </c>
      <c r="E125" s="67">
        <f t="shared" si="55"/>
        <v>0</v>
      </c>
      <c r="H125" s="49" t="s">
        <v>39</v>
      </c>
      <c r="I125" s="50"/>
      <c r="J125" s="50"/>
      <c r="K125" s="51">
        <f t="shared" si="56"/>
        <v>0</v>
      </c>
    </row>
    <row r="126" spans="1:1024" ht="14.4">
      <c r="A126" s="49" t="s">
        <v>40</v>
      </c>
      <c r="B126" s="50"/>
      <c r="C126" s="50"/>
      <c r="D126" s="51">
        <f t="shared" si="57"/>
        <v>0</v>
      </c>
      <c r="E126" s="67">
        <f t="shared" si="55"/>
        <v>0</v>
      </c>
      <c r="H126" s="49" t="s">
        <v>40</v>
      </c>
      <c r="I126" s="50"/>
      <c r="J126" s="50"/>
      <c r="K126" s="51">
        <f t="shared" si="56"/>
        <v>0</v>
      </c>
    </row>
    <row r="127" spans="1:1024" ht="14.4">
      <c r="A127" s="49" t="s">
        <v>41</v>
      </c>
      <c r="B127" s="50"/>
      <c r="C127" s="50"/>
      <c r="D127" s="51">
        <f t="shared" si="57"/>
        <v>0</v>
      </c>
      <c r="E127" s="67">
        <f t="shared" si="55"/>
        <v>0</v>
      </c>
      <c r="H127" s="49" t="s">
        <v>41</v>
      </c>
      <c r="I127" s="50"/>
      <c r="J127" s="50"/>
      <c r="K127" s="51">
        <f t="shared" si="56"/>
        <v>0</v>
      </c>
    </row>
    <row r="128" spans="1:1024" ht="14.4">
      <c r="A128" s="49" t="s">
        <v>43</v>
      </c>
      <c r="B128" s="50"/>
      <c r="C128" s="50"/>
      <c r="D128" s="51">
        <f t="shared" si="57"/>
        <v>0</v>
      </c>
      <c r="E128" s="67">
        <f t="shared" si="55"/>
        <v>0</v>
      </c>
      <c r="H128" s="49" t="s">
        <v>43</v>
      </c>
      <c r="I128" s="50"/>
      <c r="J128" s="50"/>
      <c r="K128" s="51">
        <f t="shared" si="56"/>
        <v>0</v>
      </c>
    </row>
    <row r="129" spans="1:11" ht="14.4">
      <c r="A129" s="49" t="s">
        <v>45</v>
      </c>
      <c r="B129" s="50"/>
      <c r="C129" s="50"/>
      <c r="D129" s="51">
        <f t="shared" si="57"/>
        <v>0</v>
      </c>
      <c r="E129" s="67">
        <f t="shared" si="55"/>
        <v>0</v>
      </c>
      <c r="H129" s="49" t="s">
        <v>45</v>
      </c>
      <c r="I129" s="50"/>
      <c r="J129" s="50"/>
      <c r="K129" s="51">
        <f t="shared" si="56"/>
        <v>0</v>
      </c>
    </row>
    <row r="130" spans="1:11" ht="14.4">
      <c r="A130" s="49" t="s">
        <v>46</v>
      </c>
      <c r="B130" s="50"/>
      <c r="C130" s="50"/>
      <c r="D130" s="51">
        <f t="shared" si="57"/>
        <v>0</v>
      </c>
      <c r="E130" s="67">
        <f t="shared" si="55"/>
        <v>0</v>
      </c>
      <c r="H130" s="49" t="s">
        <v>46</v>
      </c>
      <c r="I130" s="50"/>
      <c r="J130" s="50"/>
      <c r="K130" s="51">
        <f t="shared" si="56"/>
        <v>0</v>
      </c>
    </row>
    <row r="131" spans="1:11" ht="14.4">
      <c r="A131" s="53" t="s">
        <v>47</v>
      </c>
      <c r="B131" s="54">
        <f>SUM(B119:B130)</f>
        <v>55446.520000000004</v>
      </c>
      <c r="C131" s="54">
        <f>SUM(C119:C130)</f>
        <v>0</v>
      </c>
      <c r="D131" s="54">
        <f>B131+C131</f>
        <v>55446.520000000004</v>
      </c>
      <c r="E131" s="67"/>
      <c r="H131" s="53" t="s">
        <v>47</v>
      </c>
      <c r="I131" s="54">
        <f>SUM(I119:I130)</f>
        <v>231856.88</v>
      </c>
      <c r="J131" s="54">
        <f>SUM(J119:J130)</f>
        <v>1524.57</v>
      </c>
      <c r="K131" s="54">
        <f t="shared" si="56"/>
        <v>233381.45</v>
      </c>
    </row>
    <row r="132" spans="1:11" ht="14.4">
      <c r="B132" s="3">
        <f>1138*0.8</f>
        <v>910.40000000000009</v>
      </c>
    </row>
    <row r="133" spans="1:11" ht="14.4">
      <c r="B133" s="3">
        <f>B119*0.2</f>
        <v>10633.852000000001</v>
      </c>
      <c r="C133" s="3">
        <f>B133/2</f>
        <v>5316.9260000000004</v>
      </c>
      <c r="D133" s="3">
        <v>1138</v>
      </c>
      <c r="E133" s="3">
        <f>D133*0.8</f>
        <v>910.40000000000009</v>
      </c>
    </row>
    <row r="134" spans="1:11" ht="14.4">
      <c r="D134" s="3">
        <f>D133-C133</f>
        <v>-4178.9260000000004</v>
      </c>
    </row>
    <row r="135" spans="1:11" ht="18">
      <c r="A135" s="370" t="s">
        <v>107</v>
      </c>
      <c r="B135" s="370"/>
      <c r="C135" s="370"/>
      <c r="D135" s="370"/>
    </row>
    <row r="136" spans="1:11" ht="15" customHeight="1">
      <c r="A136" s="5"/>
      <c r="B136" s="374" t="s">
        <v>108</v>
      </c>
      <c r="C136" s="374"/>
      <c r="D136" s="374"/>
    </row>
    <row r="137" spans="1:11" ht="14.4">
      <c r="A137" s="49" t="s">
        <v>9</v>
      </c>
      <c r="B137" s="48" t="s">
        <v>10</v>
      </c>
      <c r="C137" s="48" t="s">
        <v>11</v>
      </c>
      <c r="D137" s="48" t="s">
        <v>12</v>
      </c>
    </row>
    <row r="138" spans="1:11" ht="14.4">
      <c r="A138" s="49" t="s">
        <v>25</v>
      </c>
      <c r="B138" s="50">
        <v>216165.2</v>
      </c>
      <c r="C138" s="50"/>
      <c r="D138" s="51">
        <f t="shared" ref="D138:D150" si="58">B138+C138</f>
        <v>216165.2</v>
      </c>
      <c r="K138" s="3" t="s">
        <v>109</v>
      </c>
    </row>
    <row r="139" spans="1:11" ht="14.4">
      <c r="A139" s="49" t="s">
        <v>27</v>
      </c>
      <c r="B139" s="50"/>
      <c r="C139" s="50"/>
      <c r="D139" s="51">
        <f t="shared" si="58"/>
        <v>0</v>
      </c>
    </row>
    <row r="140" spans="1:11" ht="14.4">
      <c r="A140" s="49" t="s">
        <v>30</v>
      </c>
      <c r="B140" s="50"/>
      <c r="C140" s="50"/>
      <c r="D140" s="51">
        <f t="shared" si="58"/>
        <v>0</v>
      </c>
    </row>
    <row r="141" spans="1:11" ht="14.4">
      <c r="A141" s="49" t="s">
        <v>33</v>
      </c>
      <c r="B141" s="50"/>
      <c r="C141" s="50"/>
      <c r="D141" s="51">
        <f t="shared" si="58"/>
        <v>0</v>
      </c>
      <c r="I141" s="3">
        <f>18*180</f>
        <v>3240</v>
      </c>
    </row>
    <row r="142" spans="1:11" ht="14.4">
      <c r="A142" s="49" t="s">
        <v>35</v>
      </c>
      <c r="B142" s="50"/>
      <c r="C142" s="50"/>
      <c r="D142" s="51">
        <f t="shared" si="58"/>
        <v>0</v>
      </c>
    </row>
    <row r="143" spans="1:11" ht="14.4">
      <c r="A143" s="49" t="s">
        <v>37</v>
      </c>
      <c r="B143" s="50"/>
      <c r="C143" s="10"/>
      <c r="D143" s="51">
        <f t="shared" si="58"/>
        <v>0</v>
      </c>
    </row>
    <row r="144" spans="1:11" ht="14.4">
      <c r="A144" s="49" t="s">
        <v>39</v>
      </c>
      <c r="B144" s="50"/>
      <c r="C144" s="50"/>
      <c r="D144" s="51">
        <f t="shared" si="58"/>
        <v>0</v>
      </c>
    </row>
    <row r="145" spans="1:4" ht="14.4">
      <c r="A145" s="49" t="s">
        <v>40</v>
      </c>
      <c r="B145" s="10"/>
      <c r="C145" s="50"/>
      <c r="D145" s="51">
        <f t="shared" si="58"/>
        <v>0</v>
      </c>
    </row>
    <row r="146" spans="1:4" ht="14.4">
      <c r="A146" s="49" t="s">
        <v>41</v>
      </c>
      <c r="B146" s="50"/>
      <c r="C146" s="50"/>
      <c r="D146" s="51">
        <f t="shared" si="58"/>
        <v>0</v>
      </c>
    </row>
    <row r="147" spans="1:4" ht="14.4">
      <c r="A147" s="49" t="s">
        <v>43</v>
      </c>
      <c r="B147" s="50"/>
      <c r="C147" s="50"/>
      <c r="D147" s="51">
        <f t="shared" si="58"/>
        <v>0</v>
      </c>
    </row>
    <row r="148" spans="1:4" ht="14.4">
      <c r="A148" s="49" t="s">
        <v>45</v>
      </c>
      <c r="B148" s="50"/>
      <c r="C148" s="50"/>
      <c r="D148" s="51">
        <f t="shared" si="58"/>
        <v>0</v>
      </c>
    </row>
    <row r="149" spans="1:4" ht="14.4">
      <c r="A149" s="49" t="s">
        <v>46</v>
      </c>
      <c r="B149" s="50"/>
      <c r="C149" s="50"/>
      <c r="D149" s="51">
        <f t="shared" si="58"/>
        <v>0</v>
      </c>
    </row>
    <row r="150" spans="1:4" ht="14.4">
      <c r="A150" s="53" t="s">
        <v>47</v>
      </c>
      <c r="B150" s="54">
        <f>SUM(B138:B149)</f>
        <v>216165.2</v>
      </c>
      <c r="C150" s="54">
        <f>SUM(C138:C149)</f>
        <v>0</v>
      </c>
      <c r="D150" s="54">
        <f t="shared" si="58"/>
        <v>216165.2</v>
      </c>
    </row>
    <row r="155" spans="1:4" ht="18">
      <c r="A155" s="370" t="s">
        <v>12</v>
      </c>
      <c r="B155" s="370"/>
      <c r="C155" s="370"/>
      <c r="D155" s="370"/>
    </row>
    <row r="156" spans="1:4" ht="13.5" customHeight="1">
      <c r="A156" s="5"/>
      <c r="B156" s="374" t="s">
        <v>110</v>
      </c>
      <c r="C156" s="374"/>
      <c r="D156" s="374"/>
    </row>
    <row r="157" spans="1:4" ht="14.4">
      <c r="A157" s="49" t="s">
        <v>9</v>
      </c>
      <c r="B157" s="48" t="s">
        <v>10</v>
      </c>
      <c r="C157" s="48" t="s">
        <v>11</v>
      </c>
      <c r="D157" s="48" t="s">
        <v>12</v>
      </c>
    </row>
    <row r="158" spans="1:4" ht="14.4">
      <c r="A158" s="49" t="s">
        <v>25</v>
      </c>
      <c r="B158" s="50">
        <f>B6+E6+K6+M6+B26+E26+M26+AF45+H63+K83+K101+B119+I119</f>
        <v>20360212.34</v>
      </c>
      <c r="C158" s="50">
        <f>C6+F6+N6+I26+N26+AG45+I63+L83+L101+C119+J119</f>
        <v>49427.99</v>
      </c>
      <c r="D158" s="51">
        <f t="shared" ref="D158:D170" si="59">B158+C158</f>
        <v>20409640.329999998</v>
      </c>
    </row>
    <row r="159" spans="1:4" ht="14.4">
      <c r="A159" s="49" t="s">
        <v>27</v>
      </c>
      <c r="B159" s="50">
        <f>B7+E7+K7+M7+B27+E27+M27+AF46+H64+K84+K102+B120+I120</f>
        <v>23613549.870000008</v>
      </c>
      <c r="C159" s="50">
        <f>C7+F7+N7+I27+N27+AG46+I64+L84+L102+C120+J120</f>
        <v>97103.200000000012</v>
      </c>
      <c r="D159" s="51">
        <f t="shared" si="59"/>
        <v>23710653.070000008</v>
      </c>
    </row>
    <row r="160" spans="1:4" ht="14.4">
      <c r="A160" s="49" t="s">
        <v>30</v>
      </c>
      <c r="B160" s="50">
        <f>B8+E8+K8+M8+B28+E28+M28+AF47+H65+K85+K103+B121+I121</f>
        <v>12929882.51</v>
      </c>
      <c r="C160" s="50">
        <f>C8+F8+N8+I28+N28+AG47+I65+L85+L103+C121+J121</f>
        <v>0</v>
      </c>
      <c r="D160" s="51">
        <f t="shared" si="59"/>
        <v>12929882.51</v>
      </c>
    </row>
    <row r="161" spans="1:9" ht="14.4">
      <c r="A161" s="49" t="s">
        <v>33</v>
      </c>
      <c r="B161" s="50"/>
      <c r="C161" s="50"/>
      <c r="D161" s="51">
        <f t="shared" si="59"/>
        <v>0</v>
      </c>
    </row>
    <row r="162" spans="1:9" ht="14.4">
      <c r="A162" s="49" t="s">
        <v>35</v>
      </c>
      <c r="B162" s="50"/>
      <c r="C162" s="50"/>
      <c r="D162" s="51">
        <f t="shared" si="59"/>
        <v>0</v>
      </c>
    </row>
    <row r="163" spans="1:9" ht="14.4">
      <c r="A163" s="49" t="s">
        <v>37</v>
      </c>
      <c r="B163" s="50"/>
      <c r="C163" s="50"/>
      <c r="D163" s="51">
        <f t="shared" si="59"/>
        <v>0</v>
      </c>
    </row>
    <row r="164" spans="1:9" ht="14.4">
      <c r="A164" s="49" t="s">
        <v>39</v>
      </c>
      <c r="B164" s="50"/>
      <c r="C164" s="50"/>
      <c r="D164" s="51">
        <f t="shared" si="59"/>
        <v>0</v>
      </c>
    </row>
    <row r="165" spans="1:9" ht="14.4">
      <c r="A165" s="49" t="s">
        <v>40</v>
      </c>
      <c r="B165" s="50"/>
      <c r="C165" s="50"/>
      <c r="D165" s="51">
        <f t="shared" si="59"/>
        <v>0</v>
      </c>
    </row>
    <row r="166" spans="1:9" ht="14.4">
      <c r="A166" s="49" t="s">
        <v>41</v>
      </c>
      <c r="B166" s="50"/>
      <c r="C166" s="50"/>
      <c r="D166" s="51">
        <f t="shared" si="59"/>
        <v>0</v>
      </c>
    </row>
    <row r="167" spans="1:9" ht="14.4">
      <c r="A167" s="49" t="s">
        <v>43</v>
      </c>
      <c r="B167" s="50"/>
      <c r="C167" s="50"/>
      <c r="D167" s="51">
        <f t="shared" si="59"/>
        <v>0</v>
      </c>
    </row>
    <row r="168" spans="1:9" ht="14.4">
      <c r="A168" s="49" t="s">
        <v>45</v>
      </c>
      <c r="B168" s="50"/>
      <c r="C168" s="50"/>
      <c r="D168" s="51">
        <f t="shared" si="59"/>
        <v>0</v>
      </c>
      <c r="I168" s="3">
        <v>3499562</v>
      </c>
    </row>
    <row r="169" spans="1:9" ht="14.4">
      <c r="A169" s="49" t="s">
        <v>46</v>
      </c>
      <c r="B169" s="50"/>
      <c r="C169" s="50"/>
      <c r="D169" s="51">
        <f t="shared" si="59"/>
        <v>0</v>
      </c>
    </row>
    <row r="170" spans="1:9" ht="14.4">
      <c r="A170" s="53" t="s">
        <v>47</v>
      </c>
      <c r="B170" s="54">
        <f>SUM(B158:B169)</f>
        <v>56903644.720000006</v>
      </c>
      <c r="C170" s="54">
        <f>SUM(C158:C169)</f>
        <v>146531.19</v>
      </c>
      <c r="D170" s="54">
        <f t="shared" si="59"/>
        <v>57050175.910000004</v>
      </c>
    </row>
  </sheetData>
  <sheetProtection algorithmName="SHA-512" hashValue="N9aov+1ol+sloQOuLwn2aar8gXm58YIRsxORb8KEflNX04dMpsZhXnmMA3NGDaANqLYZzBmy3lAw20A5CzBpbw==" saltValue="K6ioGyF2SHcVZhaFrYWbew==" spinCount="100000" sheet="1" objects="1" scenarios="1"/>
  <mergeCells count="61">
    <mergeCell ref="N121:O121"/>
    <mergeCell ref="A135:D135"/>
    <mergeCell ref="B136:D136"/>
    <mergeCell ref="A155:D155"/>
    <mergeCell ref="B156:D156"/>
    <mergeCell ref="A116:D116"/>
    <mergeCell ref="H116:K116"/>
    <mergeCell ref="B117:D117"/>
    <mergeCell ref="I117:K117"/>
    <mergeCell ref="N120:O120"/>
    <mergeCell ref="A98:M98"/>
    <mergeCell ref="B99:D99"/>
    <mergeCell ref="E99:G99"/>
    <mergeCell ref="H99:J99"/>
    <mergeCell ref="K99:M99"/>
    <mergeCell ref="P80:R80"/>
    <mergeCell ref="B81:G81"/>
    <mergeCell ref="H81:J81"/>
    <mergeCell ref="K81:M81"/>
    <mergeCell ref="U82:V82"/>
    <mergeCell ref="A79:M79"/>
    <mergeCell ref="B80:D80"/>
    <mergeCell ref="E80:G80"/>
    <mergeCell ref="H80:J80"/>
    <mergeCell ref="K80:M80"/>
    <mergeCell ref="A59:L59"/>
    <mergeCell ref="B60:D60"/>
    <mergeCell ref="E60:G60"/>
    <mergeCell ref="H60:L60"/>
    <mergeCell ref="M60:O60"/>
    <mergeCell ref="B43:D43"/>
    <mergeCell ref="E43:S43"/>
    <mergeCell ref="T43:V43"/>
    <mergeCell ref="W43:AE43"/>
    <mergeCell ref="AF43:AH43"/>
    <mergeCell ref="B24:L24"/>
    <mergeCell ref="M24:O24"/>
    <mergeCell ref="A41:AH41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AC42:AE42"/>
    <mergeCell ref="AF42:AH42"/>
    <mergeCell ref="Y4:AB4"/>
    <mergeCell ref="A22:O22"/>
    <mergeCell ref="B23:D23"/>
    <mergeCell ref="E23:G23"/>
    <mergeCell ref="H23:L23"/>
    <mergeCell ref="M23:O23"/>
    <mergeCell ref="A3:V3"/>
    <mergeCell ref="B4:D4"/>
    <mergeCell ref="E4:G4"/>
    <mergeCell ref="H4:L4"/>
    <mergeCell ref="M4:O4"/>
    <mergeCell ref="T4:V4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3"/>
  <sheetViews>
    <sheetView topLeftCell="A82" zoomScaleNormal="100" workbookViewId="0">
      <selection activeCell="B22" sqref="B22"/>
    </sheetView>
  </sheetViews>
  <sheetFormatPr defaultColWidth="11.5546875" defaultRowHeight="13.5" customHeight="1"/>
  <cols>
    <col min="1" max="1" width="6.44140625" style="2" customWidth="1"/>
    <col min="2" max="2" width="54.6640625" style="2" customWidth="1"/>
    <col min="3" max="3" width="16.5546875" style="2" customWidth="1"/>
    <col min="4" max="4" width="17" style="2" customWidth="1"/>
    <col min="5" max="9" width="16.5546875" style="2" customWidth="1"/>
    <col min="10" max="10" width="21.88671875" style="2" customWidth="1"/>
    <col min="11" max="11" width="16.33203125" style="2" customWidth="1"/>
    <col min="12" max="12" width="16.109375" style="2" customWidth="1"/>
    <col min="13" max="13" width="19.5546875" style="2" customWidth="1"/>
    <col min="14" max="14" width="16.44140625" style="2" customWidth="1"/>
    <col min="15" max="15" width="17.88671875" style="2" customWidth="1"/>
    <col min="16" max="16" width="18.44140625" style="2" customWidth="1"/>
    <col min="17" max="17" width="25.44140625" style="14" customWidth="1"/>
    <col min="18" max="18" width="25.44140625" style="2" customWidth="1"/>
    <col min="19" max="19" width="14.109375" style="2" customWidth="1"/>
    <col min="20" max="20" width="8.6640625" style="2" customWidth="1"/>
    <col min="21" max="21" width="17.33203125" style="2" customWidth="1"/>
    <col min="22" max="24" width="8.6640625" style="2" customWidth="1"/>
    <col min="25" max="25" width="15.44140625" style="2" customWidth="1"/>
    <col min="26" max="1024" width="8.6640625" style="2" customWidth="1"/>
  </cols>
  <sheetData>
    <row r="1" spans="1:1024" ht="17.399999999999999">
      <c r="A1" s="70"/>
      <c r="B1" s="384" t="s">
        <v>111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71"/>
      <c r="Q1" s="72"/>
    </row>
    <row r="2" spans="1:1024" ht="17.399999999999999">
      <c r="A2" s="70"/>
      <c r="B2" s="385" t="s">
        <v>112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71"/>
      <c r="Q2" s="72"/>
    </row>
    <row r="3" spans="1:1024" ht="33" customHeight="1">
      <c r="A3" s="73"/>
      <c r="B3" s="74">
        <v>101</v>
      </c>
      <c r="C3" s="75" t="s">
        <v>113</v>
      </c>
      <c r="D3" s="75" t="s">
        <v>114</v>
      </c>
      <c r="E3" s="75" t="s">
        <v>115</v>
      </c>
      <c r="F3" s="75" t="s">
        <v>116</v>
      </c>
      <c r="G3" s="75" t="s">
        <v>117</v>
      </c>
      <c r="H3" s="75" t="s">
        <v>118</v>
      </c>
      <c r="I3" s="75" t="s">
        <v>119</v>
      </c>
      <c r="J3" s="75" t="s">
        <v>120</v>
      </c>
      <c r="K3" s="75" t="s">
        <v>121</v>
      </c>
      <c r="L3" s="75" t="s">
        <v>122</v>
      </c>
      <c r="M3" s="75" t="s">
        <v>123</v>
      </c>
      <c r="N3" s="75" t="s">
        <v>124</v>
      </c>
      <c r="O3" s="76" t="s">
        <v>12</v>
      </c>
      <c r="P3" s="76" t="s">
        <v>125</v>
      </c>
      <c r="Q3" s="77" t="s">
        <v>126</v>
      </c>
      <c r="R3" s="78" t="s">
        <v>127</v>
      </c>
      <c r="S3" s="5"/>
      <c r="T3" s="5"/>
      <c r="U3" s="5"/>
      <c r="V3" s="5"/>
      <c r="W3" s="5"/>
      <c r="X3" s="5"/>
      <c r="Y3" s="75" t="s">
        <v>121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spans="1:1024" ht="15" customHeight="1">
      <c r="A4" s="73"/>
      <c r="B4" s="386" t="s">
        <v>128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76"/>
      <c r="Q4" s="77"/>
      <c r="R4" s="78"/>
      <c r="S4" s="5"/>
      <c r="T4" s="5"/>
      <c r="U4" s="5"/>
      <c r="V4" s="5"/>
      <c r="W4" s="5"/>
      <c r="X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</row>
    <row r="5" spans="1:1024" ht="14.4">
      <c r="A5" s="387" t="s">
        <v>10</v>
      </c>
      <c r="B5" s="79" t="s">
        <v>3</v>
      </c>
      <c r="C5" s="80">
        <v>11780456.810000001</v>
      </c>
      <c r="D5" s="81">
        <v>12109082.439999999</v>
      </c>
      <c r="E5" s="82">
        <v>13062127</v>
      </c>
      <c r="F5" s="83">
        <v>13959120.289999999</v>
      </c>
      <c r="G5" s="81">
        <v>13995097.640000001</v>
      </c>
      <c r="H5" s="81">
        <v>13264396.810000001</v>
      </c>
      <c r="I5" s="84">
        <v>15825877.66</v>
      </c>
      <c r="J5" s="85">
        <v>12991709.32</v>
      </c>
      <c r="K5" s="82">
        <v>13597878.800000001</v>
      </c>
      <c r="L5" s="81">
        <v>14551598.48</v>
      </c>
      <c r="M5" s="81">
        <v>11155622.140000001</v>
      </c>
      <c r="N5" s="81">
        <v>10013566.390000001</v>
      </c>
      <c r="O5" s="86">
        <v>156306533.75999999</v>
      </c>
      <c r="P5" s="87">
        <f t="shared" ref="P5:P28" si="0">O5/$O$39</f>
        <v>0.45798691285180154</v>
      </c>
      <c r="Q5" s="388">
        <v>116624035</v>
      </c>
      <c r="R5" s="88">
        <f t="shared" ref="R5:R28" si="1">O5*1.0603</f>
        <v>165731817.74572799</v>
      </c>
      <c r="Y5" s="89">
        <v>13597878.796800001</v>
      </c>
    </row>
    <row r="6" spans="1:1024" ht="14.4">
      <c r="A6" s="387"/>
      <c r="B6" s="90" t="s">
        <v>129</v>
      </c>
      <c r="C6" s="91">
        <v>2818.1</v>
      </c>
      <c r="D6" s="92">
        <v>10275.5</v>
      </c>
      <c r="E6" s="93">
        <v>7852.41</v>
      </c>
      <c r="F6" s="94">
        <v>24253.31</v>
      </c>
      <c r="G6" s="92">
        <v>20649.47</v>
      </c>
      <c r="H6" s="92">
        <v>30421.63</v>
      </c>
      <c r="I6" s="95">
        <v>9795.58</v>
      </c>
      <c r="J6" s="96">
        <v>15114.88</v>
      </c>
      <c r="K6" s="93">
        <v>30839.07</v>
      </c>
      <c r="L6" s="92">
        <v>22930.959999999999</v>
      </c>
      <c r="M6" s="92">
        <v>14519.08</v>
      </c>
      <c r="N6" s="92">
        <v>7451.75</v>
      </c>
      <c r="O6" s="97">
        <v>196921.75</v>
      </c>
      <c r="P6" s="98">
        <f t="shared" si="0"/>
        <v>5.7699177498460991E-4</v>
      </c>
      <c r="Q6" s="388"/>
      <c r="R6" s="88">
        <f t="shared" si="1"/>
        <v>208796.131525</v>
      </c>
      <c r="Y6" s="89">
        <v>30839.074199999999</v>
      </c>
    </row>
    <row r="7" spans="1:1024" ht="14.4">
      <c r="A7" s="387"/>
      <c r="B7" s="79" t="s">
        <v>130</v>
      </c>
      <c r="C7" s="80">
        <v>130457.85</v>
      </c>
      <c r="D7" s="82">
        <v>112262.44</v>
      </c>
      <c r="E7" s="82">
        <v>209783.92</v>
      </c>
      <c r="F7" s="83">
        <v>238511.48</v>
      </c>
      <c r="G7" s="81">
        <v>71177.91</v>
      </c>
      <c r="H7" s="81">
        <v>251202.18</v>
      </c>
      <c r="I7" s="99">
        <v>208056.08</v>
      </c>
      <c r="J7" s="85">
        <v>488620.59</v>
      </c>
      <c r="K7" s="82">
        <v>101256.36</v>
      </c>
      <c r="L7" s="81">
        <v>383030.9</v>
      </c>
      <c r="M7" s="81">
        <v>176408.38</v>
      </c>
      <c r="N7" s="81">
        <v>173676.08</v>
      </c>
      <c r="O7" s="86">
        <v>2544444.17</v>
      </c>
      <c r="P7" s="87">
        <f t="shared" si="0"/>
        <v>7.4553641636718269E-3</v>
      </c>
      <c r="Q7" s="100">
        <v>270544</v>
      </c>
      <c r="R7" s="88">
        <f t="shared" si="1"/>
        <v>2697874.1534509999</v>
      </c>
      <c r="Y7" s="89">
        <v>101256.364</v>
      </c>
    </row>
    <row r="8" spans="1:1024" ht="14.4">
      <c r="A8" s="387"/>
      <c r="B8" s="90" t="s">
        <v>131</v>
      </c>
      <c r="C8" s="91">
        <v>3490715.29</v>
      </c>
      <c r="D8" s="93">
        <v>2836549.09</v>
      </c>
      <c r="E8" s="93">
        <v>3020622.3</v>
      </c>
      <c r="F8" s="101">
        <v>3575720.35</v>
      </c>
      <c r="G8" s="92">
        <v>3155811.09</v>
      </c>
      <c r="H8" s="92">
        <v>3313205.09</v>
      </c>
      <c r="I8" s="102">
        <v>4108846.99</v>
      </c>
      <c r="J8" s="96">
        <v>3355196.97</v>
      </c>
      <c r="K8" s="92">
        <v>3718894.7</v>
      </c>
      <c r="L8" s="92">
        <v>3988909.85</v>
      </c>
      <c r="M8" s="93">
        <v>3375838.02</v>
      </c>
      <c r="N8" s="92">
        <v>3944333.8</v>
      </c>
      <c r="O8" s="97">
        <v>41884643.539999999</v>
      </c>
      <c r="P8" s="98">
        <f t="shared" si="0"/>
        <v>0.12272435533780436</v>
      </c>
      <c r="Q8" s="103">
        <v>30402110</v>
      </c>
      <c r="R8" s="88">
        <f t="shared" si="1"/>
        <v>44410287.545461997</v>
      </c>
      <c r="T8" s="2" t="e">
        <f>E8+E10-2880752.72</f>
        <v>#VALUE!</v>
      </c>
      <c r="U8" s="2">
        <f>G9*0.85</f>
        <v>2572904.1764999996</v>
      </c>
      <c r="Y8" s="104">
        <v>3718894.7</v>
      </c>
    </row>
    <row r="9" spans="1:1024" ht="14.4">
      <c r="A9" s="387"/>
      <c r="B9" s="79" t="s">
        <v>132</v>
      </c>
      <c r="C9" s="105">
        <v>3426628.14</v>
      </c>
      <c r="D9" s="82">
        <v>2823066.01</v>
      </c>
      <c r="E9" s="82">
        <v>2942060.51</v>
      </c>
      <c r="F9" s="106">
        <v>3387183.76</v>
      </c>
      <c r="G9" s="81">
        <v>3026946.09</v>
      </c>
      <c r="H9" s="81">
        <v>3086974.85</v>
      </c>
      <c r="I9" s="84">
        <v>3973940.8</v>
      </c>
      <c r="J9" s="85">
        <v>3270155.16</v>
      </c>
      <c r="K9" s="82">
        <v>3551090.96</v>
      </c>
      <c r="L9" s="81">
        <v>3784652.07</v>
      </c>
      <c r="M9" s="82">
        <v>3121376.38</v>
      </c>
      <c r="N9" s="81">
        <v>3489657.6</v>
      </c>
      <c r="O9" s="86">
        <v>39883732.329999998</v>
      </c>
      <c r="P9" s="87">
        <f t="shared" si="0"/>
        <v>0.11686157323961305</v>
      </c>
      <c r="Q9" s="100">
        <v>35142102</v>
      </c>
      <c r="R9" s="88">
        <f t="shared" si="1"/>
        <v>42288721.389499001</v>
      </c>
      <c r="Y9" s="89">
        <v>3551090.96</v>
      </c>
    </row>
    <row r="10" spans="1:1024" ht="14.4">
      <c r="A10" s="387"/>
      <c r="B10" s="90" t="s">
        <v>51</v>
      </c>
      <c r="C10" s="91">
        <v>7000</v>
      </c>
      <c r="D10" s="93">
        <v>7000</v>
      </c>
      <c r="E10" s="92" t="s">
        <v>133</v>
      </c>
      <c r="F10" s="94" t="s">
        <v>133</v>
      </c>
      <c r="G10" s="92"/>
      <c r="H10" s="92" t="s">
        <v>133</v>
      </c>
      <c r="I10" s="102" t="s">
        <v>133</v>
      </c>
      <c r="J10" s="107" t="s">
        <v>133</v>
      </c>
      <c r="K10" s="92" t="s">
        <v>133</v>
      </c>
      <c r="L10" s="92" t="s">
        <v>133</v>
      </c>
      <c r="M10" s="93" t="s">
        <v>133</v>
      </c>
      <c r="N10" s="92" t="s">
        <v>133</v>
      </c>
      <c r="O10" s="97">
        <v>14000</v>
      </c>
      <c r="P10" s="98">
        <f t="shared" si="0"/>
        <v>4.1020785412401319E-5</v>
      </c>
      <c r="Q10" s="103"/>
      <c r="R10" s="88">
        <f t="shared" si="1"/>
        <v>14844.2</v>
      </c>
      <c r="U10" s="108" t="s">
        <v>134</v>
      </c>
      <c r="Y10" s="92">
        <v>0</v>
      </c>
    </row>
    <row r="11" spans="1:1024" ht="14.4">
      <c r="A11" s="387"/>
      <c r="B11" s="79" t="s">
        <v>135</v>
      </c>
      <c r="C11" s="109" t="s">
        <v>133</v>
      </c>
      <c r="D11" s="81" t="s">
        <v>133</v>
      </c>
      <c r="E11" s="81" t="s">
        <v>133</v>
      </c>
      <c r="F11" s="83" t="s">
        <v>133</v>
      </c>
      <c r="G11" s="81"/>
      <c r="H11" s="81" t="s">
        <v>133</v>
      </c>
      <c r="I11" s="99" t="s">
        <v>133</v>
      </c>
      <c r="J11" s="110" t="s">
        <v>133</v>
      </c>
      <c r="K11" s="81" t="s">
        <v>133</v>
      </c>
      <c r="L11" s="81" t="s">
        <v>133</v>
      </c>
      <c r="M11" s="81" t="s">
        <v>133</v>
      </c>
      <c r="N11" s="81" t="s">
        <v>133</v>
      </c>
      <c r="O11" s="86" t="s">
        <v>133</v>
      </c>
      <c r="P11" s="87" t="e">
        <f t="shared" si="0"/>
        <v>#VALUE!</v>
      </c>
      <c r="Q11" s="100"/>
      <c r="R11" s="88" t="e">
        <f t="shared" si="1"/>
        <v>#VALUE!</v>
      </c>
      <c r="Y11" s="81">
        <v>0</v>
      </c>
    </row>
    <row r="12" spans="1:1024" ht="14.4">
      <c r="A12" s="387"/>
      <c r="B12" s="90" t="s">
        <v>60</v>
      </c>
      <c r="C12" s="111" t="s">
        <v>133</v>
      </c>
      <c r="D12" s="92" t="s">
        <v>133</v>
      </c>
      <c r="E12" s="92" t="s">
        <v>133</v>
      </c>
      <c r="F12" s="94" t="s">
        <v>133</v>
      </c>
      <c r="G12" s="92"/>
      <c r="H12" s="92" t="s">
        <v>133</v>
      </c>
      <c r="I12" s="102" t="s">
        <v>133</v>
      </c>
      <c r="J12" s="112" t="s">
        <v>133</v>
      </c>
      <c r="K12" s="92" t="s">
        <v>133</v>
      </c>
      <c r="L12" s="92" t="s">
        <v>133</v>
      </c>
      <c r="M12" s="92" t="s">
        <v>133</v>
      </c>
      <c r="N12" s="92" t="s">
        <v>133</v>
      </c>
      <c r="O12" s="97" t="s">
        <v>133</v>
      </c>
      <c r="P12" s="98" t="e">
        <f t="shared" si="0"/>
        <v>#VALUE!</v>
      </c>
      <c r="Q12" s="103"/>
      <c r="R12" s="88" t="e">
        <f t="shared" si="1"/>
        <v>#VALUE!</v>
      </c>
      <c r="Y12" s="92">
        <v>0</v>
      </c>
    </row>
    <row r="13" spans="1:1024" ht="14.4">
      <c r="A13" s="387"/>
      <c r="B13" s="79" t="s">
        <v>136</v>
      </c>
      <c r="C13" s="109" t="s">
        <v>133</v>
      </c>
      <c r="D13" s="81" t="s">
        <v>133</v>
      </c>
      <c r="E13" s="81" t="s">
        <v>133</v>
      </c>
      <c r="F13" s="83" t="s">
        <v>133</v>
      </c>
      <c r="G13" s="81"/>
      <c r="H13" s="81" t="s">
        <v>133</v>
      </c>
      <c r="I13" s="99" t="s">
        <v>133</v>
      </c>
      <c r="J13" s="110" t="s">
        <v>133</v>
      </c>
      <c r="K13" s="81" t="s">
        <v>133</v>
      </c>
      <c r="L13" s="81" t="s">
        <v>133</v>
      </c>
      <c r="M13" s="81"/>
      <c r="N13" s="81"/>
      <c r="O13" s="86" t="s">
        <v>133</v>
      </c>
      <c r="P13" s="87" t="e">
        <f t="shared" si="0"/>
        <v>#VALUE!</v>
      </c>
      <c r="Q13" s="100"/>
      <c r="R13" s="88" t="e">
        <f t="shared" si="1"/>
        <v>#VALUE!</v>
      </c>
      <c r="Y13" s="81">
        <v>0</v>
      </c>
    </row>
    <row r="14" spans="1:1024" ht="14.4">
      <c r="A14" s="387"/>
      <c r="B14" s="90" t="s">
        <v>62</v>
      </c>
      <c r="C14" s="111" t="s">
        <v>133</v>
      </c>
      <c r="D14" s="92" t="s">
        <v>133</v>
      </c>
      <c r="E14" s="92" t="s">
        <v>133</v>
      </c>
      <c r="F14" s="94" t="s">
        <v>133</v>
      </c>
      <c r="G14" s="92"/>
      <c r="H14" s="92" t="s">
        <v>133</v>
      </c>
      <c r="I14" s="102" t="s">
        <v>133</v>
      </c>
      <c r="J14" s="112" t="s">
        <v>133</v>
      </c>
      <c r="K14" s="92" t="s">
        <v>133</v>
      </c>
      <c r="L14" s="92" t="s">
        <v>133</v>
      </c>
      <c r="M14" s="92" t="s">
        <v>133</v>
      </c>
      <c r="N14" s="92" t="s">
        <v>133</v>
      </c>
      <c r="O14" s="97" t="s">
        <v>133</v>
      </c>
      <c r="P14" s="98" t="e">
        <f t="shared" si="0"/>
        <v>#VALUE!</v>
      </c>
      <c r="Q14" s="103"/>
      <c r="R14" s="88" t="e">
        <f t="shared" si="1"/>
        <v>#VALUE!</v>
      </c>
      <c r="Y14" s="92">
        <v>0</v>
      </c>
    </row>
    <row r="15" spans="1:1024" ht="14.4">
      <c r="A15" s="387"/>
      <c r="B15" s="79" t="s">
        <v>63</v>
      </c>
      <c r="C15" s="80">
        <v>45619.75</v>
      </c>
      <c r="D15" s="82">
        <v>84678.85</v>
      </c>
      <c r="E15" s="81">
        <v>69127.539999999994</v>
      </c>
      <c r="F15" s="83">
        <v>69587.22</v>
      </c>
      <c r="G15" s="81">
        <v>74754.25</v>
      </c>
      <c r="H15" s="81">
        <v>57726.45</v>
      </c>
      <c r="I15" s="99">
        <v>62563.37</v>
      </c>
      <c r="J15" s="85">
        <v>73732.289999999994</v>
      </c>
      <c r="K15" s="82">
        <v>50410.2</v>
      </c>
      <c r="L15" s="81">
        <v>77718.789999999994</v>
      </c>
      <c r="M15" s="81">
        <v>45256.81</v>
      </c>
      <c r="N15" s="81">
        <v>35710.32</v>
      </c>
      <c r="O15" s="86">
        <v>746885.84</v>
      </c>
      <c r="P15" s="87">
        <f t="shared" si="0"/>
        <v>2.1884174121572218E-3</v>
      </c>
      <c r="Q15" s="100"/>
      <c r="R15" s="88">
        <f t="shared" si="1"/>
        <v>791923.05615199998</v>
      </c>
      <c r="Y15" s="89">
        <v>50410.2</v>
      </c>
    </row>
    <row r="16" spans="1:1024" ht="14.4">
      <c r="A16" s="387"/>
      <c r="B16" s="90" t="s">
        <v>66</v>
      </c>
      <c r="C16" s="111" t="s">
        <v>133</v>
      </c>
      <c r="D16" s="93">
        <v>31037.95</v>
      </c>
      <c r="E16" s="92">
        <v>44686.06</v>
      </c>
      <c r="F16" s="94">
        <v>37075.82</v>
      </c>
      <c r="G16" s="93">
        <v>28676.58</v>
      </c>
      <c r="H16" s="92">
        <v>29675.34</v>
      </c>
      <c r="I16" s="102">
        <v>35758.11</v>
      </c>
      <c r="J16" s="96">
        <v>31812.13</v>
      </c>
      <c r="K16" s="92">
        <v>40391.22</v>
      </c>
      <c r="L16" s="92">
        <v>30464.87</v>
      </c>
      <c r="M16" s="92">
        <v>28676.58</v>
      </c>
      <c r="N16" s="92">
        <v>66487.399999999994</v>
      </c>
      <c r="O16" s="97">
        <v>404742.06</v>
      </c>
      <c r="P16" s="98">
        <f t="shared" si="0"/>
        <v>1.1859169421880899E-3</v>
      </c>
      <c r="Q16" s="103"/>
      <c r="R16" s="88">
        <f t="shared" si="1"/>
        <v>429148.00621800002</v>
      </c>
      <c r="W16" s="2">
        <f>35/95</f>
        <v>0.36842105263157893</v>
      </c>
      <c r="Y16" s="104">
        <v>40391.22</v>
      </c>
    </row>
    <row r="17" spans="1:1016" ht="14.4">
      <c r="A17" s="387"/>
      <c r="B17" s="79" t="s">
        <v>61</v>
      </c>
      <c r="C17" s="109" t="s">
        <v>133</v>
      </c>
      <c r="D17" s="81" t="s">
        <v>133</v>
      </c>
      <c r="E17" s="81" t="s">
        <v>133</v>
      </c>
      <c r="F17" s="83" t="s">
        <v>133</v>
      </c>
      <c r="G17" s="81"/>
      <c r="H17" s="81" t="s">
        <v>133</v>
      </c>
      <c r="I17" s="99" t="s">
        <v>133</v>
      </c>
      <c r="J17" s="110" t="s">
        <v>133</v>
      </c>
      <c r="K17" s="81" t="s">
        <v>133</v>
      </c>
      <c r="L17" s="81" t="s">
        <v>133</v>
      </c>
      <c r="M17" s="81" t="s">
        <v>133</v>
      </c>
      <c r="N17" s="81" t="s">
        <v>133</v>
      </c>
      <c r="O17" s="86" t="s">
        <v>133</v>
      </c>
      <c r="P17" s="87" t="e">
        <f t="shared" si="0"/>
        <v>#VALUE!</v>
      </c>
      <c r="Q17" s="100"/>
      <c r="R17" s="88" t="e">
        <f t="shared" si="1"/>
        <v>#VALUE!</v>
      </c>
      <c r="W17" s="2">
        <v>58</v>
      </c>
      <c r="Y17" s="81">
        <v>0</v>
      </c>
    </row>
    <row r="18" spans="1:1016" ht="14.4">
      <c r="A18" s="387"/>
      <c r="B18" s="90" t="s">
        <v>67</v>
      </c>
      <c r="C18" s="91">
        <v>2093.6</v>
      </c>
      <c r="D18" s="93">
        <v>1423.68</v>
      </c>
      <c r="E18" s="92">
        <v>1537.32</v>
      </c>
      <c r="F18" s="94">
        <v>1817.56</v>
      </c>
      <c r="G18" s="93">
        <v>1913.32</v>
      </c>
      <c r="H18" s="92">
        <v>2396.14</v>
      </c>
      <c r="I18" s="102">
        <v>2302.65</v>
      </c>
      <c r="J18" s="107">
        <v>2000.13</v>
      </c>
      <c r="K18" s="93">
        <v>2267.0100000000002</v>
      </c>
      <c r="L18" s="92">
        <v>1936.78</v>
      </c>
      <c r="M18" s="92">
        <v>2202.13</v>
      </c>
      <c r="N18" s="92">
        <v>2762.48</v>
      </c>
      <c r="O18" s="97">
        <v>22652.67</v>
      </c>
      <c r="P18" s="98">
        <f t="shared" si="0"/>
        <v>6.6373593934852915E-5</v>
      </c>
      <c r="Q18" s="103"/>
      <c r="R18" s="88">
        <f t="shared" si="1"/>
        <v>24018.626000999997</v>
      </c>
      <c r="W18" s="2">
        <f>W17/W16</f>
        <v>157.42857142857144</v>
      </c>
      <c r="Y18" s="89">
        <v>2267.0100000000002</v>
      </c>
    </row>
    <row r="19" spans="1:1016" ht="14.4">
      <c r="A19" s="387"/>
      <c r="B19" s="79" t="s">
        <v>137</v>
      </c>
      <c r="C19" s="109" t="s">
        <v>133</v>
      </c>
      <c r="D19" s="81" t="s">
        <v>133</v>
      </c>
      <c r="E19" s="81" t="s">
        <v>133</v>
      </c>
      <c r="F19" s="83" t="s">
        <v>133</v>
      </c>
      <c r="G19" s="81"/>
      <c r="H19" s="81" t="s">
        <v>133</v>
      </c>
      <c r="I19" s="99" t="s">
        <v>133</v>
      </c>
      <c r="J19" s="110" t="s">
        <v>133</v>
      </c>
      <c r="K19" s="81" t="s">
        <v>133</v>
      </c>
      <c r="L19" s="81" t="s">
        <v>133</v>
      </c>
      <c r="M19" s="81" t="s">
        <v>133</v>
      </c>
      <c r="N19" s="81" t="s">
        <v>133</v>
      </c>
      <c r="O19" s="86" t="s">
        <v>133</v>
      </c>
      <c r="P19" s="87" t="e">
        <f t="shared" si="0"/>
        <v>#VALUE!</v>
      </c>
      <c r="Q19" s="100"/>
      <c r="R19" s="88" t="e">
        <f t="shared" si="1"/>
        <v>#VALUE!</v>
      </c>
      <c r="Y19" s="81">
        <v>0</v>
      </c>
    </row>
    <row r="20" spans="1:1016" ht="14.4">
      <c r="A20" s="387"/>
      <c r="B20" s="90" t="s">
        <v>138</v>
      </c>
      <c r="C20" s="111" t="s">
        <v>133</v>
      </c>
      <c r="D20" s="92" t="s">
        <v>133</v>
      </c>
      <c r="E20" s="92" t="s">
        <v>133</v>
      </c>
      <c r="F20" s="94" t="s">
        <v>133</v>
      </c>
      <c r="G20" s="92"/>
      <c r="H20" s="92" t="s">
        <v>133</v>
      </c>
      <c r="I20" s="102" t="s">
        <v>133</v>
      </c>
      <c r="J20" s="112" t="s">
        <v>133</v>
      </c>
      <c r="K20" s="92" t="s">
        <v>133</v>
      </c>
      <c r="L20" s="92" t="s">
        <v>133</v>
      </c>
      <c r="M20" s="92" t="s">
        <v>133</v>
      </c>
      <c r="N20" s="92" t="s">
        <v>133</v>
      </c>
      <c r="O20" s="97" t="s">
        <v>133</v>
      </c>
      <c r="P20" s="98" t="e">
        <f t="shared" si="0"/>
        <v>#VALUE!</v>
      </c>
      <c r="Q20" s="103"/>
      <c r="R20" s="88" t="e">
        <f t="shared" si="1"/>
        <v>#VALUE!</v>
      </c>
      <c r="Y20" s="92">
        <v>0</v>
      </c>
    </row>
    <row r="21" spans="1:1016" ht="14.4">
      <c r="A21" s="387"/>
      <c r="B21" s="79" t="s">
        <v>139</v>
      </c>
      <c r="C21" s="80">
        <v>2777.39</v>
      </c>
      <c r="D21" s="81" t="s">
        <v>133</v>
      </c>
      <c r="E21" s="81" t="s">
        <v>133</v>
      </c>
      <c r="F21" s="83" t="s">
        <v>133</v>
      </c>
      <c r="G21" s="81"/>
      <c r="H21" s="81" t="s">
        <v>133</v>
      </c>
      <c r="I21" s="99" t="s">
        <v>133</v>
      </c>
      <c r="J21" s="110" t="s">
        <v>133</v>
      </c>
      <c r="K21" s="82" t="s">
        <v>133</v>
      </c>
      <c r="L21" s="81" t="s">
        <v>133</v>
      </c>
      <c r="M21" s="81" t="s">
        <v>133</v>
      </c>
      <c r="N21" s="81" t="s">
        <v>133</v>
      </c>
      <c r="O21" s="86">
        <v>2777.39</v>
      </c>
      <c r="P21" s="87">
        <f t="shared" si="0"/>
        <v>8.1379085140392344E-6</v>
      </c>
      <c r="Q21" s="100"/>
      <c r="R21" s="88">
        <f t="shared" si="1"/>
        <v>2944.8666170000001</v>
      </c>
      <c r="Y21" s="82">
        <v>0</v>
      </c>
    </row>
    <row r="22" spans="1:1016" ht="14.4">
      <c r="A22" s="387"/>
      <c r="B22" s="90" t="s">
        <v>140</v>
      </c>
      <c r="C22" s="91">
        <v>1726750.74</v>
      </c>
      <c r="D22" s="92">
        <v>978537.31</v>
      </c>
      <c r="E22" s="92">
        <v>1002713.29</v>
      </c>
      <c r="F22" s="94">
        <v>1042934.01</v>
      </c>
      <c r="G22" s="92">
        <v>1490708.96</v>
      </c>
      <c r="H22" s="92">
        <v>1027414.18</v>
      </c>
      <c r="I22" s="102">
        <v>1269226.5</v>
      </c>
      <c r="J22" s="112">
        <v>1357326.79</v>
      </c>
      <c r="K22" s="93">
        <v>1544027.09</v>
      </c>
      <c r="L22" s="92">
        <v>1364599.59</v>
      </c>
      <c r="M22" s="92">
        <v>1551400.62</v>
      </c>
      <c r="N22" s="92">
        <v>1316823.52</v>
      </c>
      <c r="O22" s="97">
        <v>15672462.6</v>
      </c>
      <c r="P22" s="98">
        <f t="shared" si="0"/>
        <v>4.5921194657034661E-2</v>
      </c>
      <c r="Q22" s="103"/>
      <c r="R22" s="88">
        <f t="shared" si="1"/>
        <v>16617512.09478</v>
      </c>
      <c r="S22" s="2">
        <f>320/9</f>
        <v>35.555555555555557</v>
      </c>
      <c r="Y22" s="89">
        <v>1544027.09</v>
      </c>
    </row>
    <row r="23" spans="1:1016" ht="14.4">
      <c r="A23" s="387"/>
      <c r="B23" s="79" t="s">
        <v>141</v>
      </c>
      <c r="C23" s="113" t="s">
        <v>133</v>
      </c>
      <c r="D23" s="81" t="s">
        <v>133</v>
      </c>
      <c r="E23" s="81" t="s">
        <v>133</v>
      </c>
      <c r="F23" s="83">
        <v>12667.61</v>
      </c>
      <c r="G23" s="81">
        <v>240.23</v>
      </c>
      <c r="H23" s="81" t="s">
        <v>133</v>
      </c>
      <c r="I23" s="99" t="s">
        <v>133</v>
      </c>
      <c r="J23" s="110" t="s">
        <v>133</v>
      </c>
      <c r="K23" s="81">
        <v>39824.74</v>
      </c>
      <c r="L23" s="81">
        <v>2206.66</v>
      </c>
      <c r="M23" s="81">
        <v>1695.83</v>
      </c>
      <c r="N23" s="81">
        <v>2630.86</v>
      </c>
      <c r="O23" s="86">
        <v>59265.93</v>
      </c>
      <c r="P23" s="87">
        <f t="shared" si="0"/>
        <v>1.7365249977117125E-4</v>
      </c>
      <c r="Q23" s="100"/>
      <c r="R23" s="88">
        <f t="shared" si="1"/>
        <v>62839.665579</v>
      </c>
      <c r="Y23" s="104">
        <v>39824.74</v>
      </c>
    </row>
    <row r="24" spans="1:1016" ht="14.4">
      <c r="A24" s="387"/>
      <c r="B24" s="90" t="s">
        <v>82</v>
      </c>
      <c r="C24" s="91">
        <v>359.33</v>
      </c>
      <c r="D24" s="92">
        <v>58.3</v>
      </c>
      <c r="E24" s="92">
        <v>135.35</v>
      </c>
      <c r="F24" s="94">
        <v>129.85</v>
      </c>
      <c r="G24" s="92" t="s">
        <v>133</v>
      </c>
      <c r="H24" s="92">
        <v>667.15</v>
      </c>
      <c r="I24" s="102" t="s">
        <v>133</v>
      </c>
      <c r="J24" s="112">
        <v>559.77</v>
      </c>
      <c r="K24" s="92">
        <v>97.26</v>
      </c>
      <c r="L24" s="92" t="s">
        <v>133</v>
      </c>
      <c r="M24" s="92">
        <v>624.25</v>
      </c>
      <c r="N24" s="92">
        <v>1401.02</v>
      </c>
      <c r="O24" s="97">
        <v>4032.28</v>
      </c>
      <c r="P24" s="98">
        <f t="shared" si="0"/>
        <v>1.1814806614479829E-5</v>
      </c>
      <c r="Q24" s="103"/>
      <c r="R24" s="88">
        <f t="shared" si="1"/>
        <v>4275.4264840000005</v>
      </c>
      <c r="Y24" s="104">
        <v>97.26</v>
      </c>
    </row>
    <row r="25" spans="1:1016" ht="14.4">
      <c r="A25" s="387"/>
      <c r="B25" s="79" t="s">
        <v>102</v>
      </c>
      <c r="C25" s="80">
        <v>46855.12</v>
      </c>
      <c r="D25" s="82">
        <v>46017.01</v>
      </c>
      <c r="E25" s="82">
        <v>910.91</v>
      </c>
      <c r="F25" s="83">
        <v>87228.67</v>
      </c>
      <c r="G25" s="82">
        <v>44800.21</v>
      </c>
      <c r="H25" s="81">
        <v>44754.21</v>
      </c>
      <c r="I25" s="99">
        <v>983.71</v>
      </c>
      <c r="J25" s="85">
        <v>44754.21</v>
      </c>
      <c r="K25" s="82">
        <v>88451.91</v>
      </c>
      <c r="L25" s="82">
        <v>44411.13</v>
      </c>
      <c r="M25" s="81">
        <v>44411.13</v>
      </c>
      <c r="N25" s="81">
        <v>43446.33</v>
      </c>
      <c r="O25" s="86">
        <v>537024.56999999995</v>
      </c>
      <c r="P25" s="87">
        <f t="shared" si="0"/>
        <v>1.5735121176540777E-3</v>
      </c>
      <c r="Q25" s="100"/>
      <c r="R25" s="88">
        <f t="shared" si="1"/>
        <v>569407.15157099999</v>
      </c>
      <c r="Y25" s="89">
        <v>88451.91</v>
      </c>
    </row>
    <row r="26" spans="1:1016" ht="14.4">
      <c r="A26" s="387"/>
      <c r="B26" s="90" t="s">
        <v>103</v>
      </c>
      <c r="C26" s="91">
        <v>188779.54</v>
      </c>
      <c r="D26" s="92">
        <v>206435.54</v>
      </c>
      <c r="E26" s="92">
        <v>193707.8</v>
      </c>
      <c r="F26" s="94">
        <v>233993.67</v>
      </c>
      <c r="G26" s="93">
        <v>256854.21</v>
      </c>
      <c r="H26" s="92">
        <v>190959.13</v>
      </c>
      <c r="I26" s="102">
        <v>224369.89</v>
      </c>
      <c r="J26" s="112">
        <v>256532.71</v>
      </c>
      <c r="K26" s="92">
        <v>177272.12</v>
      </c>
      <c r="L26" s="92">
        <v>173951.38</v>
      </c>
      <c r="M26" s="92">
        <v>143628.81</v>
      </c>
      <c r="N26" s="92">
        <v>143801.96</v>
      </c>
      <c r="O26" s="97">
        <v>2390286.7599999998</v>
      </c>
      <c r="P26" s="98">
        <f t="shared" si="0"/>
        <v>7.0036743040045712E-3</v>
      </c>
      <c r="Q26" s="103"/>
      <c r="R26" s="88">
        <f t="shared" si="1"/>
        <v>2534421.0516279996</v>
      </c>
      <c r="Y26" s="104">
        <v>177272.12</v>
      </c>
    </row>
    <row r="27" spans="1:1016" ht="14.4">
      <c r="A27" s="387"/>
      <c r="B27" s="79" t="s">
        <v>73</v>
      </c>
      <c r="C27" s="109" t="s">
        <v>133</v>
      </c>
      <c r="D27" s="81" t="s">
        <v>133</v>
      </c>
      <c r="E27" s="81" t="s">
        <v>133</v>
      </c>
      <c r="F27" s="83" t="s">
        <v>133</v>
      </c>
      <c r="G27" s="81"/>
      <c r="H27" s="81" t="s">
        <v>133</v>
      </c>
      <c r="I27" s="99" t="s">
        <v>133</v>
      </c>
      <c r="J27" s="110" t="s">
        <v>133</v>
      </c>
      <c r="K27" s="81" t="s">
        <v>133</v>
      </c>
      <c r="L27" s="81" t="s">
        <v>133</v>
      </c>
      <c r="M27" s="81" t="s">
        <v>133</v>
      </c>
      <c r="N27" s="81"/>
      <c r="O27" s="86" t="s">
        <v>133</v>
      </c>
      <c r="P27" s="87" t="e">
        <f t="shared" si="0"/>
        <v>#VALUE!</v>
      </c>
      <c r="Q27" s="100"/>
      <c r="R27" s="88" t="e">
        <f t="shared" si="1"/>
        <v>#VALUE!</v>
      </c>
      <c r="Y27" s="81">
        <v>0</v>
      </c>
    </row>
    <row r="28" spans="1:1016" ht="14.4">
      <c r="A28" s="387"/>
      <c r="B28" s="90" t="s">
        <v>74</v>
      </c>
      <c r="C28" s="91">
        <v>7728.87</v>
      </c>
      <c r="D28" s="92">
        <v>36071.919999999998</v>
      </c>
      <c r="E28" s="92">
        <v>29868.92</v>
      </c>
      <c r="F28" s="94">
        <v>19060.43</v>
      </c>
      <c r="G28" s="93">
        <v>59707.89</v>
      </c>
      <c r="H28" s="92">
        <v>29440.69</v>
      </c>
      <c r="I28" s="102">
        <v>68810.92</v>
      </c>
      <c r="J28" s="112">
        <v>18666.47</v>
      </c>
      <c r="K28" s="93">
        <v>13756.32</v>
      </c>
      <c r="L28" s="92">
        <v>17204.8</v>
      </c>
      <c r="M28" s="92">
        <v>67159.22</v>
      </c>
      <c r="N28" s="92">
        <v>4864.1400000000003</v>
      </c>
      <c r="O28" s="97">
        <v>372340.59</v>
      </c>
      <c r="P28" s="98">
        <f t="shared" si="0"/>
        <v>1.0909788173369215E-3</v>
      </c>
      <c r="Q28" s="103"/>
      <c r="R28" s="88">
        <f t="shared" si="1"/>
        <v>394792.72757700004</v>
      </c>
      <c r="Y28" s="89">
        <v>13756.32</v>
      </c>
    </row>
    <row r="29" spans="1:1016" ht="15.6">
      <c r="A29" s="387"/>
      <c r="B29" s="114">
        <f t="shared" ref="B29:N29" si="2">SUM(B5:B28)</f>
        <v>0</v>
      </c>
      <c r="C29" s="114">
        <f t="shared" si="2"/>
        <v>20859040.530000001</v>
      </c>
      <c r="D29" s="114">
        <f t="shared" si="2"/>
        <v>19282496.039999999</v>
      </c>
      <c r="E29" s="114">
        <f t="shared" si="2"/>
        <v>20585133.330000002</v>
      </c>
      <c r="F29" s="114">
        <f t="shared" si="2"/>
        <v>22689284.030000001</v>
      </c>
      <c r="G29" s="114">
        <f t="shared" si="2"/>
        <v>22227337.850000001</v>
      </c>
      <c r="H29" s="114">
        <f t="shared" si="2"/>
        <v>21329233.850000001</v>
      </c>
      <c r="I29" s="114">
        <f t="shared" si="2"/>
        <v>25790532.260000005</v>
      </c>
      <c r="J29" s="114">
        <f t="shared" si="2"/>
        <v>21906181.419999998</v>
      </c>
      <c r="K29" s="114">
        <f t="shared" si="2"/>
        <v>22956457.760000002</v>
      </c>
      <c r="L29" s="114">
        <f t="shared" si="2"/>
        <v>24443616.260000002</v>
      </c>
      <c r="M29" s="114">
        <f t="shared" si="2"/>
        <v>19728819.379999992</v>
      </c>
      <c r="N29" s="114">
        <f t="shared" si="2"/>
        <v>19246613.649999999</v>
      </c>
      <c r="O29" s="115">
        <f>SUM(C29:N29)</f>
        <v>261044746.35999995</v>
      </c>
      <c r="P29" s="116" t="e">
        <f>SUM(P5:P28)</f>
        <v>#VALUE!</v>
      </c>
      <c r="Q29" s="117"/>
      <c r="R29" s="118">
        <f>SUM(D29:O29)</f>
        <v>501230452.18999994</v>
      </c>
      <c r="S29" s="119"/>
      <c r="T29" s="119"/>
      <c r="U29" s="119"/>
      <c r="V29" s="119"/>
      <c r="W29" s="119"/>
      <c r="X29" s="119"/>
      <c r="Y29" s="114">
        <v>22956457.760000002</v>
      </c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19"/>
      <c r="ES29" s="119"/>
      <c r="ET29" s="119"/>
      <c r="EU29" s="119"/>
      <c r="EV29" s="119"/>
      <c r="EW29" s="119"/>
      <c r="EX29" s="119"/>
      <c r="EY29" s="119"/>
      <c r="EZ29" s="119"/>
      <c r="FA29" s="119"/>
      <c r="FB29" s="119"/>
      <c r="FC29" s="119"/>
      <c r="FD29" s="119"/>
      <c r="FE29" s="119"/>
      <c r="FF29" s="119"/>
      <c r="FG29" s="119"/>
      <c r="FH29" s="119"/>
      <c r="FI29" s="119"/>
      <c r="FJ29" s="119"/>
      <c r="FK29" s="119"/>
      <c r="FL29" s="119"/>
      <c r="FM29" s="119"/>
      <c r="FN29" s="119"/>
      <c r="FO29" s="119"/>
      <c r="FP29" s="119"/>
      <c r="FQ29" s="119"/>
      <c r="FR29" s="119"/>
      <c r="FS29" s="119"/>
      <c r="FT29" s="119"/>
      <c r="FU29" s="119"/>
      <c r="FV29" s="119"/>
      <c r="FW29" s="119"/>
      <c r="FX29" s="119"/>
      <c r="FY29" s="119"/>
      <c r="FZ29" s="119"/>
      <c r="GA29" s="119"/>
      <c r="GB29" s="119"/>
      <c r="GC29" s="119"/>
      <c r="GD29" s="119"/>
      <c r="GE29" s="119"/>
      <c r="GF29" s="119"/>
      <c r="GG29" s="119"/>
      <c r="GH29" s="119"/>
      <c r="GI29" s="119"/>
      <c r="GJ29" s="119"/>
      <c r="GK29" s="119"/>
      <c r="GL29" s="119"/>
      <c r="GM29" s="119"/>
      <c r="GN29" s="119"/>
      <c r="GO29" s="119"/>
      <c r="GP29" s="119"/>
      <c r="GQ29" s="119"/>
      <c r="GR29" s="119"/>
      <c r="GS29" s="119"/>
      <c r="GT29" s="119"/>
      <c r="GU29" s="119"/>
      <c r="GV29" s="119"/>
      <c r="GW29" s="119"/>
      <c r="GX29" s="119"/>
      <c r="GY29" s="119"/>
      <c r="GZ29" s="119"/>
      <c r="HA29" s="119"/>
      <c r="HB29" s="119"/>
      <c r="HC29" s="119"/>
      <c r="HD29" s="119"/>
      <c r="HE29" s="119"/>
      <c r="HF29" s="119"/>
      <c r="HG29" s="119"/>
      <c r="HH29" s="119"/>
      <c r="HI29" s="119"/>
      <c r="HJ29" s="119"/>
      <c r="HK29" s="119"/>
      <c r="HL29" s="119"/>
      <c r="HM29" s="119"/>
      <c r="HN29" s="119"/>
      <c r="HO29" s="119"/>
      <c r="HP29" s="119"/>
      <c r="HQ29" s="119"/>
      <c r="HR29" s="119"/>
      <c r="HS29" s="119"/>
      <c r="HT29" s="119"/>
      <c r="HU29" s="119"/>
      <c r="HV29" s="119"/>
      <c r="HW29" s="119"/>
      <c r="HX29" s="119"/>
      <c r="HY29" s="119"/>
      <c r="HZ29" s="119"/>
      <c r="IA29" s="119"/>
      <c r="IB29" s="119"/>
      <c r="IC29" s="119"/>
      <c r="ID29" s="119"/>
      <c r="IE29" s="119"/>
      <c r="IF29" s="119"/>
      <c r="IG29" s="119"/>
      <c r="IH29" s="119"/>
      <c r="II29" s="119"/>
      <c r="IJ29" s="119"/>
      <c r="IK29" s="119"/>
      <c r="IL29" s="119"/>
      <c r="IM29" s="119"/>
      <c r="IN29" s="119"/>
      <c r="IO29" s="119"/>
      <c r="IP29" s="119"/>
      <c r="IQ29" s="119"/>
      <c r="IR29" s="119"/>
      <c r="IS29" s="119"/>
      <c r="IT29" s="119"/>
      <c r="IU29" s="119"/>
      <c r="IV29" s="119"/>
      <c r="IW29" s="119"/>
      <c r="IX29" s="119"/>
      <c r="IY29" s="119"/>
      <c r="IZ29" s="119"/>
      <c r="JA29" s="119"/>
      <c r="JB29" s="119"/>
      <c r="JC29" s="119"/>
      <c r="JD29" s="119"/>
      <c r="JE29" s="119"/>
      <c r="JF29" s="119"/>
      <c r="JG29" s="119"/>
      <c r="JH29" s="119"/>
      <c r="JI29" s="119"/>
      <c r="JJ29" s="119"/>
      <c r="JK29" s="119"/>
      <c r="JL29" s="119"/>
      <c r="JM29" s="119"/>
      <c r="JN29" s="119"/>
      <c r="JO29" s="119"/>
      <c r="JP29" s="119"/>
      <c r="JQ29" s="119"/>
      <c r="JR29" s="119"/>
      <c r="JS29" s="119"/>
      <c r="JT29" s="119"/>
      <c r="JU29" s="119"/>
      <c r="JV29" s="119"/>
      <c r="JW29" s="119"/>
      <c r="JX29" s="119"/>
      <c r="JY29" s="119"/>
      <c r="JZ29" s="119"/>
      <c r="KA29" s="119"/>
      <c r="KB29" s="119"/>
      <c r="KC29" s="119"/>
      <c r="KD29" s="119"/>
      <c r="KE29" s="119"/>
      <c r="KF29" s="119"/>
      <c r="KG29" s="119"/>
      <c r="KH29" s="119"/>
      <c r="KI29" s="119"/>
      <c r="KJ29" s="119"/>
      <c r="KK29" s="119"/>
      <c r="KL29" s="119"/>
      <c r="KM29" s="119"/>
      <c r="KN29" s="119"/>
      <c r="KO29" s="119"/>
      <c r="KP29" s="119"/>
      <c r="KQ29" s="119"/>
      <c r="KR29" s="119"/>
      <c r="KS29" s="119"/>
      <c r="KT29" s="119"/>
      <c r="KU29" s="119"/>
      <c r="KV29" s="119"/>
      <c r="KW29" s="119"/>
      <c r="KX29" s="119"/>
      <c r="KY29" s="119"/>
      <c r="KZ29" s="119"/>
      <c r="LA29" s="119"/>
      <c r="LB29" s="119"/>
      <c r="LC29" s="119"/>
      <c r="LD29" s="119"/>
      <c r="LE29" s="119"/>
      <c r="LF29" s="119"/>
      <c r="LG29" s="119"/>
      <c r="LH29" s="119"/>
      <c r="LI29" s="119"/>
      <c r="LJ29" s="119"/>
      <c r="LK29" s="119"/>
      <c r="LL29" s="119"/>
      <c r="LM29" s="119"/>
      <c r="LN29" s="119"/>
      <c r="LO29" s="119"/>
      <c r="LP29" s="119"/>
      <c r="LQ29" s="119"/>
      <c r="LR29" s="119"/>
      <c r="LS29" s="119"/>
      <c r="LT29" s="119"/>
      <c r="LU29" s="119"/>
      <c r="LV29" s="119"/>
      <c r="LW29" s="119"/>
      <c r="LX29" s="119"/>
      <c r="LY29" s="119"/>
      <c r="LZ29" s="119"/>
      <c r="MA29" s="119"/>
      <c r="MB29" s="119"/>
      <c r="MC29" s="119"/>
      <c r="MD29" s="119"/>
      <c r="ME29" s="119"/>
      <c r="MF29" s="119"/>
      <c r="MG29" s="119"/>
      <c r="MH29" s="119"/>
      <c r="MI29" s="119"/>
      <c r="MJ29" s="119"/>
      <c r="MK29" s="119"/>
      <c r="ML29" s="119"/>
      <c r="MM29" s="119"/>
      <c r="MN29" s="119"/>
      <c r="MO29" s="119"/>
      <c r="MP29" s="119"/>
      <c r="MQ29" s="119"/>
      <c r="MR29" s="119"/>
      <c r="MS29" s="119"/>
      <c r="MT29" s="119"/>
      <c r="MU29" s="119"/>
      <c r="MV29" s="119"/>
      <c r="MW29" s="119"/>
      <c r="MX29" s="119"/>
      <c r="MY29" s="119"/>
      <c r="MZ29" s="119"/>
      <c r="NA29" s="119"/>
      <c r="NB29" s="119"/>
      <c r="NC29" s="119"/>
      <c r="ND29" s="119"/>
      <c r="NE29" s="119"/>
      <c r="NF29" s="119"/>
      <c r="NG29" s="119"/>
      <c r="NH29" s="119"/>
      <c r="NI29" s="119"/>
      <c r="NJ29" s="119"/>
      <c r="NK29" s="119"/>
      <c r="NL29" s="119"/>
      <c r="NM29" s="119"/>
      <c r="NN29" s="119"/>
      <c r="NO29" s="119"/>
      <c r="NP29" s="119"/>
      <c r="NQ29" s="119"/>
      <c r="NR29" s="119"/>
      <c r="NS29" s="119"/>
      <c r="NT29" s="119"/>
      <c r="NU29" s="119"/>
      <c r="NV29" s="119"/>
      <c r="NW29" s="119"/>
      <c r="NX29" s="119"/>
      <c r="NY29" s="119"/>
      <c r="NZ29" s="119"/>
      <c r="OA29" s="119"/>
      <c r="OB29" s="119"/>
      <c r="OC29" s="119"/>
      <c r="OD29" s="119"/>
      <c r="OE29" s="119"/>
      <c r="OF29" s="119"/>
      <c r="OG29" s="119"/>
      <c r="OH29" s="119"/>
      <c r="OI29" s="119"/>
      <c r="OJ29" s="119"/>
      <c r="OK29" s="119"/>
      <c r="OL29" s="119"/>
      <c r="OM29" s="119"/>
      <c r="ON29" s="119"/>
      <c r="OO29" s="119"/>
      <c r="OP29" s="119"/>
      <c r="OQ29" s="119"/>
      <c r="OR29" s="119"/>
      <c r="OS29" s="119"/>
      <c r="OT29" s="119"/>
      <c r="OU29" s="119"/>
      <c r="OV29" s="119"/>
      <c r="OW29" s="119"/>
      <c r="OX29" s="119"/>
      <c r="OY29" s="119"/>
      <c r="OZ29" s="119"/>
      <c r="PA29" s="119"/>
      <c r="PB29" s="119"/>
      <c r="PC29" s="119"/>
      <c r="PD29" s="119"/>
      <c r="PE29" s="119"/>
      <c r="PF29" s="119"/>
      <c r="PG29" s="119"/>
      <c r="PH29" s="119"/>
      <c r="PI29" s="119"/>
      <c r="PJ29" s="119"/>
      <c r="PK29" s="119"/>
      <c r="PL29" s="119"/>
      <c r="PM29" s="119"/>
      <c r="PN29" s="119"/>
      <c r="PO29" s="119"/>
      <c r="PP29" s="119"/>
      <c r="PQ29" s="119"/>
      <c r="PR29" s="119"/>
      <c r="PS29" s="119"/>
      <c r="PT29" s="119"/>
      <c r="PU29" s="119"/>
      <c r="PV29" s="119"/>
      <c r="PW29" s="119"/>
      <c r="PX29" s="119"/>
      <c r="PY29" s="119"/>
      <c r="PZ29" s="119"/>
      <c r="QA29" s="119"/>
      <c r="QB29" s="119"/>
      <c r="QC29" s="119"/>
      <c r="QD29" s="119"/>
      <c r="QE29" s="119"/>
      <c r="QF29" s="119"/>
      <c r="QG29" s="119"/>
      <c r="QH29" s="119"/>
      <c r="QI29" s="119"/>
      <c r="QJ29" s="119"/>
      <c r="QK29" s="119"/>
      <c r="QL29" s="119"/>
      <c r="QM29" s="119"/>
      <c r="QN29" s="119"/>
      <c r="QO29" s="119"/>
      <c r="QP29" s="119"/>
      <c r="QQ29" s="119"/>
      <c r="QR29" s="119"/>
      <c r="QS29" s="119"/>
      <c r="QT29" s="119"/>
      <c r="QU29" s="119"/>
      <c r="QV29" s="119"/>
      <c r="QW29" s="119"/>
      <c r="QX29" s="119"/>
      <c r="QY29" s="119"/>
      <c r="QZ29" s="119"/>
      <c r="RA29" s="119"/>
      <c r="RB29" s="119"/>
      <c r="RC29" s="119"/>
      <c r="RD29" s="119"/>
      <c r="RE29" s="119"/>
      <c r="RF29" s="119"/>
      <c r="RG29" s="119"/>
      <c r="RH29" s="119"/>
      <c r="RI29" s="119"/>
      <c r="RJ29" s="119"/>
      <c r="RK29" s="119"/>
      <c r="RL29" s="119"/>
      <c r="RM29" s="119"/>
      <c r="RN29" s="119"/>
      <c r="RO29" s="119"/>
      <c r="RP29" s="119"/>
      <c r="RQ29" s="119"/>
      <c r="RR29" s="119"/>
      <c r="RS29" s="119"/>
      <c r="RT29" s="119"/>
      <c r="RU29" s="119"/>
      <c r="RV29" s="119"/>
      <c r="RW29" s="119"/>
      <c r="RX29" s="119"/>
      <c r="RY29" s="119"/>
      <c r="RZ29" s="119"/>
      <c r="SA29" s="119"/>
      <c r="SB29" s="119"/>
      <c r="SC29" s="119"/>
      <c r="SD29" s="119"/>
      <c r="SE29" s="119"/>
      <c r="SF29" s="119"/>
      <c r="SG29" s="119"/>
      <c r="SH29" s="119"/>
      <c r="SI29" s="119"/>
      <c r="SJ29" s="119"/>
      <c r="SK29" s="119"/>
      <c r="SL29" s="119"/>
      <c r="SM29" s="119"/>
      <c r="SN29" s="119"/>
      <c r="SO29" s="119"/>
      <c r="SP29" s="119"/>
      <c r="SQ29" s="119"/>
      <c r="SR29" s="119"/>
      <c r="SS29" s="119"/>
      <c r="ST29" s="119"/>
      <c r="SU29" s="119"/>
      <c r="SV29" s="119"/>
      <c r="SW29" s="119"/>
      <c r="SX29" s="119"/>
      <c r="SY29" s="119"/>
      <c r="SZ29" s="119"/>
      <c r="TA29" s="119"/>
      <c r="TB29" s="119"/>
      <c r="TC29" s="119"/>
      <c r="TD29" s="119"/>
      <c r="TE29" s="119"/>
      <c r="TF29" s="119"/>
      <c r="TG29" s="119"/>
      <c r="TH29" s="119"/>
      <c r="TI29" s="119"/>
      <c r="TJ29" s="119"/>
      <c r="TK29" s="119"/>
      <c r="TL29" s="119"/>
      <c r="TM29" s="119"/>
      <c r="TN29" s="119"/>
      <c r="TO29" s="119"/>
      <c r="TP29" s="119"/>
      <c r="TQ29" s="119"/>
      <c r="TR29" s="119"/>
      <c r="TS29" s="119"/>
      <c r="TT29" s="119"/>
      <c r="TU29" s="119"/>
      <c r="TV29" s="119"/>
      <c r="TW29" s="119"/>
      <c r="TX29" s="119"/>
      <c r="TY29" s="119"/>
      <c r="TZ29" s="119"/>
      <c r="UA29" s="119"/>
      <c r="UB29" s="119"/>
      <c r="UC29" s="119"/>
      <c r="UD29" s="119"/>
      <c r="UE29" s="119"/>
      <c r="UF29" s="119"/>
      <c r="UG29" s="119"/>
      <c r="UH29" s="119"/>
      <c r="UI29" s="119"/>
      <c r="UJ29" s="119"/>
      <c r="UK29" s="119"/>
      <c r="UL29" s="119"/>
      <c r="UM29" s="119"/>
      <c r="UN29" s="119"/>
      <c r="UO29" s="119"/>
      <c r="UP29" s="119"/>
      <c r="UQ29" s="119"/>
      <c r="UR29" s="119"/>
      <c r="US29" s="119"/>
      <c r="UT29" s="119"/>
      <c r="UU29" s="119"/>
      <c r="UV29" s="119"/>
      <c r="UW29" s="119"/>
      <c r="UX29" s="119"/>
      <c r="UY29" s="119"/>
      <c r="UZ29" s="119"/>
      <c r="VA29" s="119"/>
      <c r="VB29" s="119"/>
      <c r="VC29" s="119"/>
      <c r="VD29" s="119"/>
      <c r="VE29" s="119"/>
      <c r="VF29" s="119"/>
      <c r="VG29" s="119"/>
      <c r="VH29" s="119"/>
      <c r="VI29" s="119"/>
      <c r="VJ29" s="119"/>
      <c r="VK29" s="119"/>
      <c r="VL29" s="119"/>
      <c r="VM29" s="119"/>
      <c r="VN29" s="119"/>
      <c r="VO29" s="119"/>
      <c r="VP29" s="119"/>
      <c r="VQ29" s="119"/>
      <c r="VR29" s="119"/>
      <c r="VS29" s="119"/>
      <c r="VT29" s="119"/>
      <c r="VU29" s="119"/>
      <c r="VV29" s="119"/>
      <c r="VW29" s="119"/>
      <c r="VX29" s="119"/>
      <c r="VY29" s="119"/>
      <c r="VZ29" s="119"/>
      <c r="WA29" s="119"/>
      <c r="WB29" s="119"/>
      <c r="WC29" s="119"/>
      <c r="WD29" s="119"/>
      <c r="WE29" s="119"/>
      <c r="WF29" s="119"/>
      <c r="WG29" s="119"/>
      <c r="WH29" s="119"/>
      <c r="WI29" s="119"/>
      <c r="WJ29" s="119"/>
      <c r="WK29" s="119"/>
      <c r="WL29" s="119"/>
      <c r="WM29" s="119"/>
      <c r="WN29" s="119"/>
      <c r="WO29" s="119"/>
      <c r="WP29" s="119"/>
      <c r="WQ29" s="119"/>
      <c r="WR29" s="119"/>
      <c r="WS29" s="119"/>
      <c r="WT29" s="119"/>
      <c r="WU29" s="119"/>
      <c r="WV29" s="119"/>
      <c r="WW29" s="119"/>
      <c r="WX29" s="119"/>
      <c r="WY29" s="119"/>
      <c r="WZ29" s="119"/>
      <c r="XA29" s="119"/>
      <c r="XB29" s="119"/>
      <c r="XC29" s="119"/>
      <c r="XD29" s="119"/>
      <c r="XE29" s="119"/>
      <c r="XF29" s="119"/>
      <c r="XG29" s="119"/>
      <c r="XH29" s="119"/>
      <c r="XI29" s="119"/>
      <c r="XJ29" s="119"/>
      <c r="XK29" s="119"/>
      <c r="XL29" s="119"/>
      <c r="XM29" s="119"/>
      <c r="XN29" s="119"/>
      <c r="XO29" s="119"/>
      <c r="XP29" s="119"/>
      <c r="XQ29" s="119"/>
      <c r="XR29" s="119"/>
      <c r="XS29" s="119"/>
      <c r="XT29" s="119"/>
      <c r="XU29" s="119"/>
      <c r="XV29" s="119"/>
      <c r="XW29" s="119"/>
      <c r="XX29" s="119"/>
      <c r="XY29" s="119"/>
      <c r="XZ29" s="119"/>
      <c r="YA29" s="119"/>
      <c r="YB29" s="119"/>
      <c r="YC29" s="119"/>
      <c r="YD29" s="119"/>
      <c r="YE29" s="119"/>
      <c r="YF29" s="119"/>
      <c r="YG29" s="119"/>
      <c r="YH29" s="119"/>
      <c r="YI29" s="119"/>
      <c r="YJ29" s="119"/>
      <c r="YK29" s="119"/>
      <c r="YL29" s="119"/>
      <c r="YM29" s="119"/>
      <c r="YN29" s="119"/>
      <c r="YO29" s="119"/>
      <c r="YP29" s="119"/>
      <c r="YQ29" s="119"/>
      <c r="YR29" s="119"/>
      <c r="YS29" s="119"/>
      <c r="YT29" s="119"/>
      <c r="YU29" s="119"/>
      <c r="YV29" s="119"/>
      <c r="YW29" s="119"/>
      <c r="YX29" s="119"/>
      <c r="YY29" s="119"/>
      <c r="YZ29" s="119"/>
      <c r="ZA29" s="119"/>
      <c r="ZB29" s="119"/>
      <c r="ZC29" s="119"/>
      <c r="ZD29" s="119"/>
      <c r="ZE29" s="119"/>
      <c r="ZF29" s="119"/>
      <c r="ZG29" s="119"/>
      <c r="ZH29" s="119"/>
      <c r="ZI29" s="119"/>
      <c r="ZJ29" s="119"/>
      <c r="ZK29" s="119"/>
      <c r="ZL29" s="119"/>
      <c r="ZM29" s="119"/>
      <c r="ZN29" s="119"/>
      <c r="ZO29" s="119"/>
      <c r="ZP29" s="119"/>
      <c r="ZQ29" s="119"/>
      <c r="ZR29" s="119"/>
      <c r="ZS29" s="119"/>
      <c r="ZT29" s="119"/>
      <c r="ZU29" s="119"/>
      <c r="ZV29" s="119"/>
      <c r="ZW29" s="119"/>
      <c r="ZX29" s="119"/>
      <c r="ZY29" s="119"/>
      <c r="ZZ29" s="119"/>
      <c r="AAA29" s="119"/>
      <c r="AAB29" s="119"/>
      <c r="AAC29" s="119"/>
      <c r="AAD29" s="119"/>
      <c r="AAE29" s="119"/>
      <c r="AAF29" s="119"/>
      <c r="AAG29" s="119"/>
      <c r="AAH29" s="119"/>
      <c r="AAI29" s="119"/>
      <c r="AAJ29" s="119"/>
      <c r="AAK29" s="119"/>
      <c r="AAL29" s="119"/>
      <c r="AAM29" s="119"/>
      <c r="AAN29" s="119"/>
      <c r="AAO29" s="119"/>
      <c r="AAP29" s="119"/>
      <c r="AAQ29" s="119"/>
      <c r="AAR29" s="119"/>
      <c r="AAS29" s="119"/>
      <c r="AAT29" s="119"/>
      <c r="AAU29" s="119"/>
      <c r="AAV29" s="119"/>
      <c r="AAW29" s="119"/>
      <c r="AAX29" s="119"/>
      <c r="AAY29" s="119"/>
      <c r="AAZ29" s="119"/>
      <c r="ABA29" s="119"/>
      <c r="ABB29" s="119"/>
      <c r="ABC29" s="119"/>
      <c r="ABD29" s="119"/>
      <c r="ABE29" s="119"/>
      <c r="ABF29" s="119"/>
      <c r="ABG29" s="119"/>
      <c r="ABH29" s="119"/>
      <c r="ABI29" s="119"/>
      <c r="ABJ29" s="119"/>
      <c r="ABK29" s="119"/>
      <c r="ABL29" s="119"/>
      <c r="ABM29" s="119"/>
      <c r="ABN29" s="119"/>
      <c r="ABO29" s="119"/>
      <c r="ABP29" s="119"/>
      <c r="ABQ29" s="119"/>
      <c r="ABR29" s="119"/>
      <c r="ABS29" s="119"/>
      <c r="ABT29" s="119"/>
      <c r="ABU29" s="119"/>
      <c r="ABV29" s="119"/>
      <c r="ABW29" s="119"/>
      <c r="ABX29" s="119"/>
      <c r="ABY29" s="119"/>
      <c r="ABZ29" s="119"/>
      <c r="ACA29" s="119"/>
      <c r="ACB29" s="119"/>
      <c r="ACC29" s="119"/>
      <c r="ACD29" s="119"/>
      <c r="ACE29" s="119"/>
      <c r="ACF29" s="119"/>
      <c r="ACG29" s="119"/>
      <c r="ACH29" s="119"/>
      <c r="ACI29" s="119"/>
      <c r="ACJ29" s="119"/>
      <c r="ACK29" s="119"/>
      <c r="ACL29" s="119"/>
      <c r="ACM29" s="119"/>
      <c r="ACN29" s="119"/>
      <c r="ACO29" s="119"/>
      <c r="ACP29" s="119"/>
      <c r="ACQ29" s="119"/>
      <c r="ACR29" s="119"/>
      <c r="ACS29" s="119"/>
      <c r="ACT29" s="119"/>
      <c r="ACU29" s="119"/>
      <c r="ACV29" s="119"/>
      <c r="ACW29" s="119"/>
      <c r="ACX29" s="119"/>
      <c r="ACY29" s="119"/>
      <c r="ACZ29" s="119"/>
      <c r="ADA29" s="119"/>
      <c r="ADB29" s="119"/>
      <c r="ADC29" s="119"/>
      <c r="ADD29" s="119"/>
      <c r="ADE29" s="119"/>
      <c r="ADF29" s="119"/>
      <c r="ADG29" s="119"/>
      <c r="ADH29" s="119"/>
      <c r="ADI29" s="119"/>
      <c r="ADJ29" s="119"/>
      <c r="ADK29" s="119"/>
      <c r="ADL29" s="119"/>
      <c r="ADM29" s="119"/>
      <c r="ADN29" s="119"/>
      <c r="ADO29" s="119"/>
      <c r="ADP29" s="119"/>
      <c r="ADQ29" s="119"/>
      <c r="ADR29" s="119"/>
      <c r="ADS29" s="119"/>
      <c r="ADT29" s="119"/>
      <c r="ADU29" s="119"/>
      <c r="ADV29" s="119"/>
      <c r="ADW29" s="119"/>
      <c r="ADX29" s="119"/>
      <c r="ADY29" s="119"/>
      <c r="ADZ29" s="119"/>
      <c r="AEA29" s="119"/>
      <c r="AEB29" s="119"/>
      <c r="AEC29" s="119"/>
      <c r="AED29" s="119"/>
      <c r="AEE29" s="119"/>
      <c r="AEF29" s="119"/>
      <c r="AEG29" s="119"/>
      <c r="AEH29" s="119"/>
      <c r="AEI29" s="119"/>
      <c r="AEJ29" s="119"/>
      <c r="AEK29" s="119"/>
      <c r="AEL29" s="119"/>
      <c r="AEM29" s="119"/>
      <c r="AEN29" s="119"/>
      <c r="AEO29" s="119"/>
      <c r="AEP29" s="119"/>
      <c r="AEQ29" s="119"/>
      <c r="AER29" s="119"/>
      <c r="AES29" s="119"/>
      <c r="AET29" s="119"/>
      <c r="AEU29" s="119"/>
      <c r="AEV29" s="119"/>
      <c r="AEW29" s="119"/>
      <c r="AEX29" s="119"/>
      <c r="AEY29" s="119"/>
      <c r="AEZ29" s="119"/>
      <c r="AFA29" s="119"/>
      <c r="AFB29" s="119"/>
      <c r="AFC29" s="119"/>
      <c r="AFD29" s="119"/>
      <c r="AFE29" s="119"/>
      <c r="AFF29" s="119"/>
      <c r="AFG29" s="119"/>
      <c r="AFH29" s="119"/>
      <c r="AFI29" s="119"/>
      <c r="AFJ29" s="119"/>
      <c r="AFK29" s="119"/>
      <c r="AFL29" s="119"/>
      <c r="AFM29" s="119"/>
      <c r="AFN29" s="119"/>
      <c r="AFO29" s="119"/>
      <c r="AFP29" s="119"/>
      <c r="AFQ29" s="119"/>
      <c r="AFR29" s="119"/>
      <c r="AFS29" s="119"/>
      <c r="AFT29" s="119"/>
      <c r="AFU29" s="119"/>
      <c r="AFV29" s="119"/>
      <c r="AFW29" s="119"/>
      <c r="AFX29" s="119"/>
      <c r="AFY29" s="119"/>
      <c r="AFZ29" s="119"/>
      <c r="AGA29" s="119"/>
      <c r="AGB29" s="119"/>
      <c r="AGC29" s="119"/>
      <c r="AGD29" s="119"/>
      <c r="AGE29" s="119"/>
      <c r="AGF29" s="119"/>
      <c r="AGG29" s="119"/>
      <c r="AGH29" s="119"/>
      <c r="AGI29" s="119"/>
      <c r="AGJ29" s="119"/>
      <c r="AGK29" s="119"/>
      <c r="AGL29" s="119"/>
      <c r="AGM29" s="119"/>
      <c r="AGN29" s="119"/>
      <c r="AGO29" s="119"/>
      <c r="AGP29" s="119"/>
      <c r="AGQ29" s="119"/>
      <c r="AGR29" s="119"/>
      <c r="AGS29" s="119"/>
      <c r="AGT29" s="119"/>
      <c r="AGU29" s="119"/>
      <c r="AGV29" s="119"/>
      <c r="AGW29" s="119"/>
      <c r="AGX29" s="119"/>
      <c r="AGY29" s="119"/>
      <c r="AGZ29" s="119"/>
      <c r="AHA29" s="119"/>
      <c r="AHB29" s="119"/>
      <c r="AHC29" s="119"/>
      <c r="AHD29" s="119"/>
      <c r="AHE29" s="119"/>
      <c r="AHF29" s="119"/>
      <c r="AHG29" s="119"/>
      <c r="AHH29" s="119"/>
      <c r="AHI29" s="119"/>
      <c r="AHJ29" s="119"/>
      <c r="AHK29" s="119"/>
      <c r="AHL29" s="119"/>
      <c r="AHM29" s="119"/>
      <c r="AHN29" s="119"/>
      <c r="AHO29" s="119"/>
      <c r="AHP29" s="119"/>
      <c r="AHQ29" s="119"/>
      <c r="AHR29" s="119"/>
      <c r="AHS29" s="119"/>
      <c r="AHT29" s="119"/>
      <c r="AHU29" s="119"/>
      <c r="AHV29" s="119"/>
      <c r="AHW29" s="119"/>
      <c r="AHX29" s="119"/>
      <c r="AHY29" s="119"/>
      <c r="AHZ29" s="119"/>
      <c r="AIA29" s="119"/>
      <c r="AIB29" s="119"/>
      <c r="AIC29" s="119"/>
      <c r="AID29" s="119"/>
      <c r="AIE29" s="119"/>
      <c r="AIF29" s="119"/>
      <c r="AIG29" s="119"/>
      <c r="AIH29" s="119"/>
      <c r="AII29" s="119"/>
      <c r="AIJ29" s="119"/>
      <c r="AIK29" s="119"/>
      <c r="AIL29" s="119"/>
      <c r="AIM29" s="119"/>
      <c r="AIN29" s="119"/>
      <c r="AIO29" s="119"/>
      <c r="AIP29" s="119"/>
      <c r="AIQ29" s="119"/>
      <c r="AIR29" s="119"/>
      <c r="AIS29" s="119"/>
      <c r="AIT29" s="119"/>
      <c r="AIU29" s="119"/>
      <c r="AIV29" s="119"/>
      <c r="AIW29" s="119"/>
      <c r="AIX29" s="119"/>
      <c r="AIY29" s="119"/>
      <c r="AIZ29" s="119"/>
      <c r="AJA29" s="119"/>
      <c r="AJB29" s="119"/>
      <c r="AJC29" s="119"/>
      <c r="AJD29" s="119"/>
      <c r="AJE29" s="119"/>
      <c r="AJF29" s="119"/>
      <c r="AJG29" s="119"/>
      <c r="AJH29" s="119"/>
      <c r="AJI29" s="119"/>
      <c r="AJJ29" s="119"/>
      <c r="AJK29" s="119"/>
      <c r="AJL29" s="119"/>
      <c r="AJM29" s="119"/>
      <c r="AJN29" s="119"/>
      <c r="AJO29" s="119"/>
      <c r="AJP29" s="119"/>
      <c r="AJQ29" s="119"/>
      <c r="AJR29" s="119"/>
      <c r="AJS29" s="119"/>
      <c r="AJT29" s="119"/>
      <c r="AJU29" s="119"/>
      <c r="AJV29" s="119"/>
      <c r="AJW29" s="119"/>
      <c r="AJX29" s="119"/>
      <c r="AJY29" s="119"/>
      <c r="AJZ29" s="119"/>
      <c r="AKA29" s="119"/>
      <c r="AKB29" s="119"/>
      <c r="AKC29" s="119"/>
      <c r="AKD29" s="119"/>
      <c r="AKE29" s="119"/>
      <c r="AKF29" s="119"/>
      <c r="AKG29" s="119"/>
      <c r="AKH29" s="119"/>
      <c r="AKI29" s="119"/>
      <c r="AKJ29" s="119"/>
      <c r="AKK29" s="119"/>
      <c r="AKL29" s="119"/>
      <c r="AKM29" s="119"/>
      <c r="AKN29" s="119"/>
      <c r="AKO29" s="119"/>
      <c r="AKP29" s="119"/>
      <c r="AKQ29" s="119"/>
      <c r="AKR29" s="119"/>
      <c r="AKS29" s="119"/>
      <c r="AKT29" s="119"/>
      <c r="AKU29" s="119"/>
      <c r="AKV29" s="119"/>
      <c r="AKW29" s="119"/>
      <c r="AKX29" s="119"/>
      <c r="AKY29" s="119"/>
      <c r="AKZ29" s="119"/>
      <c r="ALA29" s="119"/>
      <c r="ALB29" s="119"/>
      <c r="ALC29" s="119"/>
      <c r="ALD29" s="119"/>
      <c r="ALE29" s="119"/>
      <c r="ALF29" s="119"/>
      <c r="ALG29" s="119"/>
      <c r="ALH29" s="119"/>
      <c r="ALI29" s="119"/>
      <c r="ALJ29" s="119"/>
      <c r="ALK29" s="119"/>
      <c r="ALL29" s="119"/>
      <c r="ALM29" s="119"/>
      <c r="ALN29" s="119"/>
      <c r="ALO29" s="119"/>
      <c r="ALP29" s="119"/>
      <c r="ALQ29" s="119"/>
      <c r="ALR29" s="119"/>
      <c r="ALS29" s="119"/>
      <c r="ALT29" s="119"/>
      <c r="ALU29" s="119"/>
      <c r="ALV29" s="119"/>
      <c r="ALW29" s="119"/>
      <c r="ALX29" s="119"/>
      <c r="ALY29" s="119"/>
      <c r="ALZ29" s="119"/>
      <c r="AMA29" s="119"/>
      <c r="AMB29" s="119"/>
    </row>
    <row r="30" spans="1:1016" ht="13.8">
      <c r="A30" s="389">
        <v>2339</v>
      </c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120"/>
    </row>
    <row r="31" spans="1:1016" ht="14.4">
      <c r="A31" s="390" t="s">
        <v>142</v>
      </c>
      <c r="B31" s="79" t="s">
        <v>143</v>
      </c>
      <c r="C31" s="121">
        <v>232077.88</v>
      </c>
      <c r="D31" s="122">
        <v>206614.09</v>
      </c>
      <c r="E31" s="123">
        <v>213349.76000000001</v>
      </c>
      <c r="F31" s="124">
        <v>231921.38</v>
      </c>
      <c r="G31" s="123">
        <v>219691.81</v>
      </c>
      <c r="H31" s="123">
        <v>206363.86</v>
      </c>
      <c r="I31" s="125">
        <v>233548.43</v>
      </c>
      <c r="J31" s="126">
        <v>231308.7</v>
      </c>
      <c r="K31" s="127">
        <v>216602.86</v>
      </c>
      <c r="L31" s="127">
        <v>241522.21</v>
      </c>
      <c r="M31" s="123">
        <v>211924.9</v>
      </c>
      <c r="N31" s="123">
        <v>233904.97</v>
      </c>
      <c r="O31" s="86">
        <f>SUM(C31:N31)</f>
        <v>2678830.8499999996</v>
      </c>
      <c r="P31" s="87">
        <f>O31/$O$39</f>
        <v>7.8491246752836145E-3</v>
      </c>
      <c r="Q31" s="100"/>
      <c r="R31" s="88">
        <f>O31*1.0603</f>
        <v>2840364.3502549995</v>
      </c>
      <c r="T31" s="2">
        <f>O31/5</f>
        <v>535766.16999999993</v>
      </c>
      <c r="Y31" s="128">
        <v>216602.86</v>
      </c>
    </row>
    <row r="32" spans="1:1016" ht="14.4">
      <c r="A32" s="390"/>
      <c r="B32" s="90" t="s">
        <v>144</v>
      </c>
      <c r="C32" s="129">
        <v>3018833.85</v>
      </c>
      <c r="D32" s="130">
        <v>2618540.2599999998</v>
      </c>
      <c r="E32" s="131">
        <v>2782265.35</v>
      </c>
      <c r="F32" s="132">
        <v>2991970.9</v>
      </c>
      <c r="G32" s="131">
        <v>2841486.93</v>
      </c>
      <c r="H32" s="131">
        <v>2761662.99</v>
      </c>
      <c r="I32" s="133">
        <v>3244076.76</v>
      </c>
      <c r="J32" s="134">
        <v>3176849.12</v>
      </c>
      <c r="K32" s="135">
        <v>3099667.19</v>
      </c>
      <c r="L32" s="135">
        <v>3526724.52</v>
      </c>
      <c r="M32" s="131">
        <v>2991512.78</v>
      </c>
      <c r="N32" s="131">
        <v>3179641.17</v>
      </c>
      <c r="O32" s="97">
        <f>SUM(C32:N32)</f>
        <v>36233231.82</v>
      </c>
      <c r="P32" s="98">
        <f>O32/$O$39</f>
        <v>0.1061654019490008</v>
      </c>
      <c r="Q32" s="103"/>
      <c r="R32" s="88">
        <f>O32*1.0603</f>
        <v>38418095.698746003</v>
      </c>
      <c r="T32" s="2">
        <f>O32/5</f>
        <v>7246646.3640000001</v>
      </c>
      <c r="Y32" s="128">
        <v>3099667.19</v>
      </c>
    </row>
    <row r="33" spans="1:1024" ht="14.4">
      <c r="A33" s="390"/>
      <c r="B33" s="79" t="s">
        <v>145</v>
      </c>
      <c r="C33" s="121">
        <v>2004212.44</v>
      </c>
      <c r="D33" s="136">
        <v>2061569.13</v>
      </c>
      <c r="E33" s="123">
        <v>2122616.6800000002</v>
      </c>
      <c r="F33" s="124">
        <v>2161686.06</v>
      </c>
      <c r="G33" s="123">
        <v>2008649.81</v>
      </c>
      <c r="H33" s="123">
        <v>2031871.93</v>
      </c>
      <c r="I33" s="123">
        <v>2133207.7400000002</v>
      </c>
      <c r="J33" s="137">
        <v>2232968.54</v>
      </c>
      <c r="K33" s="127">
        <v>2285790.0099999998</v>
      </c>
      <c r="L33" s="123">
        <v>2307247.56</v>
      </c>
      <c r="M33" s="123">
        <v>2404403.88</v>
      </c>
      <c r="N33" s="123">
        <v>4611868.9800000004</v>
      </c>
      <c r="O33" s="86">
        <f>SUM(C33:N33)</f>
        <v>28366092.760000002</v>
      </c>
      <c r="P33" s="87">
        <f>O33/$O$39</f>
        <v>8.311424314973076E-2</v>
      </c>
      <c r="Q33" s="100"/>
      <c r="R33" s="88">
        <f>O33*1.0603</f>
        <v>30076568.153428003</v>
      </c>
      <c r="T33" s="2">
        <f>O33/5</f>
        <v>5673218.5520000001</v>
      </c>
      <c r="Y33" s="128">
        <v>2285790.0099999998</v>
      </c>
    </row>
    <row r="34" spans="1:1024" ht="14.4">
      <c r="A34" s="390"/>
      <c r="B34" s="90" t="s">
        <v>146</v>
      </c>
      <c r="C34" s="138">
        <v>586661.43000000005</v>
      </c>
      <c r="D34" s="139">
        <v>622750.37</v>
      </c>
      <c r="E34" s="131">
        <v>621785.24</v>
      </c>
      <c r="F34" s="132">
        <v>689907.32</v>
      </c>
      <c r="G34" s="131">
        <v>708049.05</v>
      </c>
      <c r="H34" s="131">
        <v>725266.34</v>
      </c>
      <c r="I34" s="131">
        <v>730801.22</v>
      </c>
      <c r="J34" s="140">
        <v>696518.27</v>
      </c>
      <c r="K34" s="135">
        <v>691398.6</v>
      </c>
      <c r="L34" s="131">
        <v>619249.57999999996</v>
      </c>
      <c r="M34" s="131">
        <v>611996.13</v>
      </c>
      <c r="N34" s="131">
        <v>615353.76</v>
      </c>
      <c r="O34" s="97">
        <f>SUM(C34:N34)</f>
        <v>7919737.3099999996</v>
      </c>
      <c r="P34" s="98">
        <f>O34/$O$39</f>
        <v>2.3205274622578459E-2</v>
      </c>
      <c r="Q34" s="103"/>
      <c r="R34" s="88">
        <f>O34*1.0603</f>
        <v>8397297.4697929993</v>
      </c>
      <c r="T34" s="2">
        <f>O34/5</f>
        <v>1583947.4619999998</v>
      </c>
      <c r="Y34" s="128">
        <v>691398.6</v>
      </c>
    </row>
    <row r="35" spans="1:1024" ht="14.4">
      <c r="A35" s="390"/>
      <c r="B35" s="90" t="s">
        <v>147</v>
      </c>
      <c r="C35" s="139"/>
      <c r="D35" s="139">
        <v>486789.49</v>
      </c>
      <c r="E35" s="131">
        <v>1008815.33</v>
      </c>
      <c r="F35" s="132">
        <v>411076.53</v>
      </c>
      <c r="G35" s="131">
        <v>0</v>
      </c>
      <c r="H35" s="131">
        <v>385584.32</v>
      </c>
      <c r="I35" s="131">
        <v>673945.01</v>
      </c>
      <c r="J35" s="140">
        <v>469830.73</v>
      </c>
      <c r="K35" s="135"/>
      <c r="L35" s="131">
        <v>799611.19</v>
      </c>
      <c r="M35" s="131">
        <v>484676.92</v>
      </c>
      <c r="N35" s="131">
        <v>329425.12</v>
      </c>
      <c r="O35" s="97">
        <f>SUM(C35:N35)</f>
        <v>5049754.6399999997</v>
      </c>
      <c r="P35" s="87">
        <f>O35/$O$39</f>
        <v>1.4796064390908418E-2</v>
      </c>
      <c r="Q35" s="103"/>
      <c r="R35" s="88"/>
      <c r="Y35" s="135"/>
    </row>
    <row r="36" spans="1:1024" ht="15.6">
      <c r="A36" s="390"/>
      <c r="B36" s="141" t="s">
        <v>148</v>
      </c>
      <c r="C36" s="142">
        <f t="shared" ref="C36:P36" si="3">SUM(C31:C35)</f>
        <v>5841785.5999999996</v>
      </c>
      <c r="D36" s="142">
        <f t="shared" si="3"/>
        <v>5996263.3399999999</v>
      </c>
      <c r="E36" s="142">
        <f t="shared" si="3"/>
        <v>6748832.3600000013</v>
      </c>
      <c r="F36" s="142">
        <f t="shared" si="3"/>
        <v>6486562.1900000004</v>
      </c>
      <c r="G36" s="142">
        <f t="shared" si="3"/>
        <v>5777877.6000000006</v>
      </c>
      <c r="H36" s="142">
        <f t="shared" si="3"/>
        <v>6110749.4400000004</v>
      </c>
      <c r="I36" s="142">
        <f t="shared" si="3"/>
        <v>7015579.1599999992</v>
      </c>
      <c r="J36" s="142">
        <f t="shared" si="3"/>
        <v>6807475.3600000013</v>
      </c>
      <c r="K36" s="142">
        <f t="shared" si="3"/>
        <v>6293458.6599999992</v>
      </c>
      <c r="L36" s="142">
        <f t="shared" si="3"/>
        <v>7494355.0600000005</v>
      </c>
      <c r="M36" s="142">
        <f t="shared" si="3"/>
        <v>6704514.6099999994</v>
      </c>
      <c r="N36" s="142">
        <f t="shared" si="3"/>
        <v>8970194</v>
      </c>
      <c r="O36" s="143">
        <f t="shared" si="3"/>
        <v>80247647.38000001</v>
      </c>
      <c r="P36" s="144">
        <f t="shared" si="3"/>
        <v>0.23513010878750204</v>
      </c>
      <c r="Q36" s="145"/>
      <c r="R36" s="118">
        <f>SUM(D36:O36)</f>
        <v>154653509.16000003</v>
      </c>
      <c r="S36" s="119"/>
      <c r="T36" s="119"/>
      <c r="U36" s="119"/>
      <c r="V36" s="119"/>
      <c r="W36" s="119"/>
      <c r="X36" s="119"/>
      <c r="Y36" s="142">
        <v>6293458.6600000001</v>
      </c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  <c r="DS36" s="119"/>
      <c r="DT36" s="119"/>
      <c r="DU36" s="119"/>
      <c r="DV36" s="119"/>
      <c r="DW36" s="119"/>
      <c r="DX36" s="119"/>
      <c r="DY36" s="119"/>
      <c r="DZ36" s="119"/>
      <c r="EA36" s="119"/>
      <c r="EB36" s="119"/>
      <c r="EC36" s="119"/>
      <c r="ED36" s="119"/>
      <c r="EE36" s="119"/>
      <c r="EF36" s="119"/>
      <c r="EG36" s="119"/>
      <c r="EH36" s="119"/>
      <c r="EI36" s="119"/>
      <c r="EJ36" s="119"/>
      <c r="EK36" s="119"/>
      <c r="EL36" s="119"/>
      <c r="EM36" s="119"/>
      <c r="EN36" s="119"/>
      <c r="EO36" s="119"/>
      <c r="EP36" s="119"/>
      <c r="EQ36" s="119"/>
      <c r="ER36" s="119"/>
      <c r="ES36" s="119"/>
      <c r="ET36" s="119"/>
      <c r="EU36" s="119"/>
      <c r="EV36" s="119"/>
      <c r="EW36" s="119"/>
      <c r="EX36" s="119"/>
      <c r="EY36" s="119"/>
      <c r="EZ36" s="119"/>
      <c r="FA36" s="119"/>
      <c r="FB36" s="119"/>
      <c r="FC36" s="119"/>
      <c r="FD36" s="119"/>
      <c r="FE36" s="119"/>
      <c r="FF36" s="119"/>
      <c r="FG36" s="119"/>
      <c r="FH36" s="119"/>
      <c r="FI36" s="119"/>
      <c r="FJ36" s="119"/>
      <c r="FK36" s="119"/>
      <c r="FL36" s="119"/>
      <c r="FM36" s="119"/>
      <c r="FN36" s="119"/>
      <c r="FO36" s="119"/>
      <c r="FP36" s="119"/>
      <c r="FQ36" s="119"/>
      <c r="FR36" s="119"/>
      <c r="FS36" s="119"/>
      <c r="FT36" s="119"/>
      <c r="FU36" s="119"/>
      <c r="FV36" s="119"/>
      <c r="FW36" s="119"/>
      <c r="FX36" s="119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119"/>
      <c r="MY36" s="119"/>
      <c r="MZ36" s="119"/>
      <c r="NA36" s="119"/>
      <c r="NB36" s="119"/>
      <c r="NC36" s="119"/>
      <c r="ND36" s="119"/>
      <c r="NE36" s="119"/>
      <c r="NF36" s="119"/>
      <c r="NG36" s="119"/>
      <c r="NH36" s="119"/>
      <c r="NI36" s="119"/>
      <c r="NJ36" s="119"/>
      <c r="NK36" s="119"/>
      <c r="NL36" s="119"/>
      <c r="NM36" s="119"/>
      <c r="NN36" s="119"/>
      <c r="NO36" s="119"/>
      <c r="NP36" s="119"/>
      <c r="NQ36" s="119"/>
      <c r="NR36" s="119"/>
      <c r="NS36" s="119"/>
      <c r="NT36" s="119"/>
      <c r="NU36" s="119"/>
      <c r="NV36" s="119"/>
      <c r="NW36" s="119"/>
      <c r="NX36" s="119"/>
      <c r="NY36" s="119"/>
      <c r="NZ36" s="119"/>
      <c r="OA36" s="119"/>
      <c r="OB36" s="119"/>
      <c r="OC36" s="119"/>
      <c r="OD36" s="119"/>
      <c r="OE36" s="119"/>
      <c r="OF36" s="119"/>
      <c r="OG36" s="119"/>
      <c r="OH36" s="119"/>
      <c r="OI36" s="119"/>
      <c r="OJ36" s="119"/>
      <c r="OK36" s="119"/>
      <c r="OL36" s="119"/>
      <c r="OM36" s="119"/>
      <c r="ON36" s="119"/>
      <c r="OO36" s="119"/>
      <c r="OP36" s="119"/>
      <c r="OQ36" s="119"/>
      <c r="OR36" s="119"/>
      <c r="OS36" s="119"/>
      <c r="OT36" s="119"/>
      <c r="OU36" s="119"/>
      <c r="OV36" s="119"/>
      <c r="OW36" s="119"/>
      <c r="OX36" s="119"/>
      <c r="OY36" s="119"/>
      <c r="OZ36" s="119"/>
      <c r="PA36" s="119"/>
      <c r="PB36" s="119"/>
      <c r="PC36" s="119"/>
      <c r="PD36" s="119"/>
      <c r="PE36" s="119"/>
      <c r="PF36" s="119"/>
      <c r="PG36" s="119"/>
      <c r="PH36" s="119"/>
      <c r="PI36" s="119"/>
      <c r="PJ36" s="119"/>
      <c r="PK36" s="119"/>
      <c r="PL36" s="119"/>
      <c r="PM36" s="119"/>
      <c r="PN36" s="119"/>
      <c r="PO36" s="119"/>
      <c r="PP36" s="119"/>
      <c r="PQ36" s="119"/>
      <c r="PR36" s="119"/>
      <c r="PS36" s="119"/>
      <c r="PT36" s="119"/>
      <c r="PU36" s="119"/>
      <c r="PV36" s="119"/>
      <c r="PW36" s="119"/>
      <c r="PX36" s="119"/>
      <c r="PY36" s="119"/>
      <c r="PZ36" s="119"/>
      <c r="QA36" s="119"/>
      <c r="QB36" s="119"/>
      <c r="QC36" s="119"/>
      <c r="QD36" s="119"/>
      <c r="QE36" s="119"/>
      <c r="QF36" s="119"/>
      <c r="QG36" s="119"/>
      <c r="QH36" s="119"/>
      <c r="QI36" s="119"/>
      <c r="QJ36" s="119"/>
      <c r="QK36" s="119"/>
      <c r="QL36" s="119"/>
      <c r="QM36" s="119"/>
      <c r="QN36" s="119"/>
      <c r="QO36" s="119"/>
      <c r="QP36" s="119"/>
      <c r="QQ36" s="119"/>
      <c r="QR36" s="119"/>
      <c r="QS36" s="119"/>
      <c r="QT36" s="119"/>
      <c r="QU36" s="119"/>
      <c r="QV36" s="119"/>
      <c r="QW36" s="119"/>
      <c r="QX36" s="119"/>
      <c r="QY36" s="119"/>
      <c r="QZ36" s="119"/>
      <c r="RA36" s="119"/>
      <c r="RB36" s="119"/>
      <c r="RC36" s="119"/>
      <c r="RD36" s="119"/>
      <c r="RE36" s="119"/>
      <c r="RF36" s="119"/>
      <c r="RG36" s="119"/>
      <c r="RH36" s="119"/>
      <c r="RI36" s="119"/>
      <c r="RJ36" s="119"/>
      <c r="RK36" s="119"/>
      <c r="RL36" s="119"/>
      <c r="RM36" s="119"/>
      <c r="RN36" s="119"/>
      <c r="RO36" s="119"/>
      <c r="RP36" s="119"/>
      <c r="RQ36" s="119"/>
      <c r="RR36" s="119"/>
      <c r="RS36" s="119"/>
      <c r="RT36" s="119"/>
      <c r="RU36" s="119"/>
      <c r="RV36" s="119"/>
      <c r="RW36" s="119"/>
      <c r="RX36" s="119"/>
      <c r="RY36" s="119"/>
      <c r="RZ36" s="119"/>
      <c r="SA36" s="119"/>
      <c r="SB36" s="119"/>
      <c r="SC36" s="119"/>
      <c r="SD36" s="119"/>
      <c r="SE36" s="119"/>
      <c r="SF36" s="119"/>
      <c r="SG36" s="119"/>
      <c r="SH36" s="119"/>
      <c r="SI36" s="119"/>
      <c r="SJ36" s="119"/>
      <c r="SK36" s="119"/>
      <c r="SL36" s="119"/>
      <c r="SM36" s="119"/>
      <c r="SN36" s="119"/>
      <c r="SO36" s="119"/>
      <c r="SP36" s="119"/>
      <c r="SQ36" s="119"/>
      <c r="SR36" s="119"/>
      <c r="SS36" s="119"/>
      <c r="ST36" s="119"/>
      <c r="SU36" s="119"/>
      <c r="SV36" s="119"/>
      <c r="SW36" s="119"/>
      <c r="SX36" s="119"/>
      <c r="SY36" s="119"/>
      <c r="SZ36" s="119"/>
      <c r="TA36" s="119"/>
      <c r="TB36" s="119"/>
      <c r="TC36" s="119"/>
      <c r="TD36" s="119"/>
      <c r="TE36" s="119"/>
      <c r="TF36" s="119"/>
      <c r="TG36" s="119"/>
      <c r="TH36" s="119"/>
      <c r="TI36" s="119"/>
      <c r="TJ36" s="119"/>
      <c r="TK36" s="119"/>
      <c r="TL36" s="119"/>
      <c r="TM36" s="119"/>
      <c r="TN36" s="119"/>
      <c r="TO36" s="119"/>
      <c r="TP36" s="119"/>
      <c r="TQ36" s="119"/>
      <c r="TR36" s="119"/>
      <c r="TS36" s="119"/>
      <c r="TT36" s="119"/>
      <c r="TU36" s="119"/>
      <c r="TV36" s="119"/>
      <c r="TW36" s="119"/>
      <c r="TX36" s="119"/>
      <c r="TY36" s="119"/>
      <c r="TZ36" s="119"/>
      <c r="UA36" s="119"/>
      <c r="UB36" s="119"/>
      <c r="UC36" s="119"/>
      <c r="UD36" s="119"/>
      <c r="UE36" s="119"/>
      <c r="UF36" s="119"/>
      <c r="UG36" s="119"/>
      <c r="UH36" s="119"/>
      <c r="UI36" s="119"/>
      <c r="UJ36" s="119"/>
      <c r="UK36" s="119"/>
      <c r="UL36" s="119"/>
      <c r="UM36" s="119"/>
      <c r="UN36" s="119"/>
      <c r="UO36" s="119"/>
      <c r="UP36" s="119"/>
      <c r="UQ36" s="119"/>
      <c r="UR36" s="119"/>
      <c r="US36" s="119"/>
      <c r="UT36" s="119"/>
      <c r="UU36" s="119"/>
      <c r="UV36" s="119"/>
      <c r="UW36" s="119"/>
      <c r="UX36" s="119"/>
      <c r="UY36" s="119"/>
      <c r="UZ36" s="119"/>
      <c r="VA36" s="119"/>
      <c r="VB36" s="119"/>
      <c r="VC36" s="119"/>
      <c r="VD36" s="119"/>
      <c r="VE36" s="119"/>
      <c r="VF36" s="119"/>
      <c r="VG36" s="119"/>
      <c r="VH36" s="119"/>
      <c r="VI36" s="119"/>
      <c r="VJ36" s="119"/>
      <c r="VK36" s="119"/>
      <c r="VL36" s="119"/>
      <c r="VM36" s="119"/>
      <c r="VN36" s="119"/>
      <c r="VO36" s="119"/>
      <c r="VP36" s="119"/>
      <c r="VQ36" s="119"/>
      <c r="VR36" s="119"/>
      <c r="VS36" s="119"/>
      <c r="VT36" s="119"/>
      <c r="VU36" s="119"/>
      <c r="VV36" s="119"/>
      <c r="VW36" s="119"/>
      <c r="VX36" s="119"/>
      <c r="VY36" s="119"/>
      <c r="VZ36" s="119"/>
      <c r="WA36" s="119"/>
      <c r="WB36" s="119"/>
      <c r="WC36" s="119"/>
      <c r="WD36" s="119"/>
      <c r="WE36" s="119"/>
      <c r="WF36" s="119"/>
      <c r="WG36" s="119"/>
      <c r="WH36" s="119"/>
      <c r="WI36" s="119"/>
      <c r="WJ36" s="119"/>
      <c r="WK36" s="119"/>
      <c r="WL36" s="119"/>
      <c r="WM36" s="119"/>
      <c r="WN36" s="119"/>
      <c r="WO36" s="119"/>
      <c r="WP36" s="119"/>
      <c r="WQ36" s="119"/>
      <c r="WR36" s="119"/>
      <c r="WS36" s="119"/>
      <c r="WT36" s="119"/>
      <c r="WU36" s="119"/>
      <c r="WV36" s="119"/>
      <c r="WW36" s="119"/>
      <c r="WX36" s="119"/>
      <c r="WY36" s="119"/>
      <c r="WZ36" s="119"/>
      <c r="XA36" s="119"/>
      <c r="XB36" s="119"/>
      <c r="XC36" s="119"/>
      <c r="XD36" s="119"/>
      <c r="XE36" s="119"/>
      <c r="XF36" s="119"/>
      <c r="XG36" s="119"/>
      <c r="XH36" s="119"/>
      <c r="XI36" s="119"/>
      <c r="XJ36" s="119"/>
      <c r="XK36" s="119"/>
      <c r="XL36" s="119"/>
      <c r="XM36" s="119"/>
      <c r="XN36" s="119"/>
      <c r="XO36" s="119"/>
      <c r="XP36" s="119"/>
      <c r="XQ36" s="119"/>
      <c r="XR36" s="119"/>
      <c r="XS36" s="119"/>
      <c r="XT36" s="119"/>
      <c r="XU36" s="119"/>
      <c r="XV36" s="119"/>
      <c r="XW36" s="119"/>
      <c r="XX36" s="119"/>
      <c r="XY36" s="119"/>
      <c r="XZ36" s="119"/>
      <c r="YA36" s="119"/>
      <c r="YB36" s="119"/>
      <c r="YC36" s="119"/>
      <c r="YD36" s="119"/>
      <c r="YE36" s="119"/>
      <c r="YF36" s="119"/>
      <c r="YG36" s="119"/>
      <c r="YH36" s="119"/>
      <c r="YI36" s="119"/>
      <c r="YJ36" s="119"/>
      <c r="YK36" s="119"/>
      <c r="YL36" s="119"/>
      <c r="YM36" s="119"/>
      <c r="YN36" s="119"/>
      <c r="YO36" s="119"/>
      <c r="YP36" s="119"/>
      <c r="YQ36" s="119"/>
      <c r="YR36" s="119"/>
      <c r="YS36" s="119"/>
      <c r="YT36" s="119"/>
      <c r="YU36" s="119"/>
      <c r="YV36" s="119"/>
      <c r="YW36" s="119"/>
      <c r="YX36" s="119"/>
      <c r="YY36" s="119"/>
      <c r="YZ36" s="119"/>
      <c r="ZA36" s="119"/>
      <c r="ZB36" s="119"/>
      <c r="ZC36" s="119"/>
      <c r="ZD36" s="119"/>
      <c r="ZE36" s="119"/>
      <c r="ZF36" s="119"/>
      <c r="ZG36" s="119"/>
      <c r="ZH36" s="119"/>
      <c r="ZI36" s="119"/>
      <c r="ZJ36" s="119"/>
      <c r="ZK36" s="119"/>
      <c r="ZL36" s="119"/>
      <c r="ZM36" s="119"/>
      <c r="ZN36" s="119"/>
      <c r="ZO36" s="119"/>
      <c r="ZP36" s="119"/>
      <c r="ZQ36" s="119"/>
      <c r="ZR36" s="119"/>
      <c r="ZS36" s="119"/>
      <c r="ZT36" s="119"/>
      <c r="ZU36" s="119"/>
      <c r="ZV36" s="119"/>
      <c r="ZW36" s="119"/>
      <c r="ZX36" s="119"/>
      <c r="ZY36" s="119"/>
      <c r="ZZ36" s="119"/>
      <c r="AAA36" s="119"/>
      <c r="AAB36" s="119"/>
      <c r="AAC36" s="119"/>
      <c r="AAD36" s="119"/>
      <c r="AAE36" s="119"/>
      <c r="AAF36" s="119"/>
      <c r="AAG36" s="119"/>
      <c r="AAH36" s="119"/>
      <c r="AAI36" s="119"/>
      <c r="AAJ36" s="119"/>
      <c r="AAK36" s="119"/>
      <c r="AAL36" s="119"/>
      <c r="AAM36" s="119"/>
      <c r="AAN36" s="119"/>
      <c r="AAO36" s="119"/>
      <c r="AAP36" s="119"/>
      <c r="AAQ36" s="119"/>
      <c r="AAR36" s="119"/>
      <c r="AAS36" s="119"/>
      <c r="AAT36" s="119"/>
      <c r="AAU36" s="119"/>
      <c r="AAV36" s="119"/>
      <c r="AAW36" s="119"/>
      <c r="AAX36" s="119"/>
      <c r="AAY36" s="119"/>
      <c r="AAZ36" s="119"/>
      <c r="ABA36" s="119"/>
      <c r="ABB36" s="119"/>
      <c r="ABC36" s="119"/>
      <c r="ABD36" s="119"/>
      <c r="ABE36" s="119"/>
      <c r="ABF36" s="119"/>
      <c r="ABG36" s="119"/>
      <c r="ABH36" s="119"/>
      <c r="ABI36" s="119"/>
      <c r="ABJ36" s="119"/>
      <c r="ABK36" s="119"/>
      <c r="ABL36" s="119"/>
      <c r="ABM36" s="119"/>
      <c r="ABN36" s="119"/>
      <c r="ABO36" s="119"/>
      <c r="ABP36" s="119"/>
      <c r="ABQ36" s="119"/>
      <c r="ABR36" s="119"/>
      <c r="ABS36" s="119"/>
      <c r="ABT36" s="119"/>
      <c r="ABU36" s="119"/>
      <c r="ABV36" s="119"/>
      <c r="ABW36" s="119"/>
      <c r="ABX36" s="119"/>
      <c r="ABY36" s="119"/>
      <c r="ABZ36" s="119"/>
      <c r="ACA36" s="119"/>
      <c r="ACB36" s="119"/>
      <c r="ACC36" s="119"/>
      <c r="ACD36" s="119"/>
      <c r="ACE36" s="119"/>
      <c r="ACF36" s="119"/>
      <c r="ACG36" s="119"/>
      <c r="ACH36" s="119"/>
      <c r="ACI36" s="119"/>
      <c r="ACJ36" s="119"/>
      <c r="ACK36" s="119"/>
      <c r="ACL36" s="119"/>
      <c r="ACM36" s="119"/>
      <c r="ACN36" s="119"/>
      <c r="ACO36" s="119"/>
      <c r="ACP36" s="119"/>
      <c r="ACQ36" s="119"/>
      <c r="ACR36" s="119"/>
      <c r="ACS36" s="119"/>
      <c r="ACT36" s="119"/>
      <c r="ACU36" s="119"/>
      <c r="ACV36" s="119"/>
      <c r="ACW36" s="119"/>
      <c r="ACX36" s="119"/>
      <c r="ACY36" s="119"/>
      <c r="ACZ36" s="119"/>
      <c r="ADA36" s="119"/>
      <c r="ADB36" s="119"/>
      <c r="ADC36" s="119"/>
      <c r="ADD36" s="119"/>
      <c r="ADE36" s="119"/>
      <c r="ADF36" s="119"/>
      <c r="ADG36" s="119"/>
      <c r="ADH36" s="119"/>
      <c r="ADI36" s="119"/>
      <c r="ADJ36" s="119"/>
      <c r="ADK36" s="119"/>
      <c r="ADL36" s="119"/>
      <c r="ADM36" s="119"/>
      <c r="ADN36" s="119"/>
      <c r="ADO36" s="119"/>
      <c r="ADP36" s="119"/>
      <c r="ADQ36" s="119"/>
      <c r="ADR36" s="119"/>
      <c r="ADS36" s="119"/>
      <c r="ADT36" s="119"/>
      <c r="ADU36" s="119"/>
      <c r="ADV36" s="119"/>
      <c r="ADW36" s="119"/>
      <c r="ADX36" s="119"/>
      <c r="ADY36" s="119"/>
      <c r="ADZ36" s="119"/>
      <c r="AEA36" s="119"/>
      <c r="AEB36" s="119"/>
      <c r="AEC36" s="119"/>
      <c r="AED36" s="119"/>
      <c r="AEE36" s="119"/>
      <c r="AEF36" s="119"/>
      <c r="AEG36" s="119"/>
      <c r="AEH36" s="119"/>
      <c r="AEI36" s="119"/>
      <c r="AEJ36" s="119"/>
      <c r="AEK36" s="119"/>
      <c r="AEL36" s="119"/>
      <c r="AEM36" s="119"/>
      <c r="AEN36" s="119"/>
      <c r="AEO36" s="119"/>
      <c r="AEP36" s="119"/>
      <c r="AEQ36" s="119"/>
      <c r="AER36" s="119"/>
      <c r="AES36" s="119"/>
      <c r="AET36" s="119"/>
      <c r="AEU36" s="119"/>
      <c r="AEV36" s="119"/>
      <c r="AEW36" s="119"/>
      <c r="AEX36" s="119"/>
      <c r="AEY36" s="119"/>
      <c r="AEZ36" s="119"/>
      <c r="AFA36" s="119"/>
      <c r="AFB36" s="119"/>
      <c r="AFC36" s="119"/>
      <c r="AFD36" s="119"/>
      <c r="AFE36" s="119"/>
      <c r="AFF36" s="119"/>
      <c r="AFG36" s="119"/>
      <c r="AFH36" s="119"/>
      <c r="AFI36" s="119"/>
      <c r="AFJ36" s="119"/>
      <c r="AFK36" s="119"/>
      <c r="AFL36" s="119"/>
      <c r="AFM36" s="119"/>
      <c r="AFN36" s="119"/>
      <c r="AFO36" s="119"/>
      <c r="AFP36" s="119"/>
      <c r="AFQ36" s="119"/>
      <c r="AFR36" s="119"/>
      <c r="AFS36" s="119"/>
      <c r="AFT36" s="119"/>
      <c r="AFU36" s="119"/>
      <c r="AFV36" s="119"/>
      <c r="AFW36" s="119"/>
      <c r="AFX36" s="119"/>
      <c r="AFY36" s="119"/>
      <c r="AFZ36" s="119"/>
      <c r="AGA36" s="119"/>
      <c r="AGB36" s="119"/>
      <c r="AGC36" s="119"/>
      <c r="AGD36" s="119"/>
      <c r="AGE36" s="119"/>
      <c r="AGF36" s="119"/>
      <c r="AGG36" s="119"/>
      <c r="AGH36" s="119"/>
      <c r="AGI36" s="119"/>
      <c r="AGJ36" s="119"/>
      <c r="AGK36" s="119"/>
      <c r="AGL36" s="119"/>
      <c r="AGM36" s="119"/>
      <c r="AGN36" s="119"/>
      <c r="AGO36" s="119"/>
      <c r="AGP36" s="119"/>
      <c r="AGQ36" s="119"/>
      <c r="AGR36" s="119"/>
      <c r="AGS36" s="119"/>
      <c r="AGT36" s="119"/>
      <c r="AGU36" s="119"/>
      <c r="AGV36" s="119"/>
      <c r="AGW36" s="119"/>
      <c r="AGX36" s="119"/>
      <c r="AGY36" s="119"/>
      <c r="AGZ36" s="119"/>
      <c r="AHA36" s="119"/>
      <c r="AHB36" s="119"/>
      <c r="AHC36" s="119"/>
      <c r="AHD36" s="119"/>
      <c r="AHE36" s="119"/>
      <c r="AHF36" s="119"/>
      <c r="AHG36" s="119"/>
      <c r="AHH36" s="119"/>
      <c r="AHI36" s="119"/>
      <c r="AHJ36" s="119"/>
      <c r="AHK36" s="119"/>
      <c r="AHL36" s="119"/>
      <c r="AHM36" s="119"/>
      <c r="AHN36" s="119"/>
      <c r="AHO36" s="119"/>
      <c r="AHP36" s="119"/>
      <c r="AHQ36" s="119"/>
      <c r="AHR36" s="119"/>
      <c r="AHS36" s="119"/>
      <c r="AHT36" s="119"/>
      <c r="AHU36" s="119"/>
      <c r="AHV36" s="119"/>
      <c r="AHW36" s="119"/>
      <c r="AHX36" s="119"/>
      <c r="AHY36" s="119"/>
      <c r="AHZ36" s="119"/>
      <c r="AIA36" s="119"/>
      <c r="AIB36" s="119"/>
      <c r="AIC36" s="119"/>
      <c r="AID36" s="119"/>
      <c r="AIE36" s="119"/>
      <c r="AIF36" s="119"/>
      <c r="AIG36" s="119"/>
      <c r="AIH36" s="119"/>
      <c r="AII36" s="119"/>
      <c r="AIJ36" s="119"/>
      <c r="AIK36" s="119"/>
      <c r="AIL36" s="119"/>
      <c r="AIM36" s="119"/>
      <c r="AIN36" s="119"/>
      <c r="AIO36" s="119"/>
      <c r="AIP36" s="119"/>
      <c r="AIQ36" s="119"/>
      <c r="AIR36" s="119"/>
      <c r="AIS36" s="119"/>
      <c r="AIT36" s="119"/>
      <c r="AIU36" s="119"/>
      <c r="AIV36" s="119"/>
      <c r="AIW36" s="119"/>
      <c r="AIX36" s="119"/>
      <c r="AIY36" s="119"/>
      <c r="AIZ36" s="119"/>
      <c r="AJA36" s="119"/>
      <c r="AJB36" s="119"/>
      <c r="AJC36" s="119"/>
      <c r="AJD36" s="119"/>
      <c r="AJE36" s="119"/>
      <c r="AJF36" s="119"/>
      <c r="AJG36" s="119"/>
      <c r="AJH36" s="119"/>
      <c r="AJI36" s="119"/>
      <c r="AJJ36" s="119"/>
      <c r="AJK36" s="119"/>
      <c r="AJL36" s="119"/>
      <c r="AJM36" s="119"/>
      <c r="AJN36" s="119"/>
      <c r="AJO36" s="119"/>
      <c r="AJP36" s="119"/>
      <c r="AJQ36" s="119"/>
      <c r="AJR36" s="119"/>
      <c r="AJS36" s="119"/>
      <c r="AJT36" s="119"/>
      <c r="AJU36" s="119"/>
      <c r="AJV36" s="119"/>
      <c r="AJW36" s="119"/>
      <c r="AJX36" s="119"/>
      <c r="AJY36" s="119"/>
      <c r="AJZ36" s="119"/>
      <c r="AKA36" s="119"/>
      <c r="AKB36" s="119"/>
      <c r="AKC36" s="119"/>
      <c r="AKD36" s="119"/>
      <c r="AKE36" s="119"/>
      <c r="AKF36" s="119"/>
      <c r="AKG36" s="119"/>
      <c r="AKH36" s="119"/>
      <c r="AKI36" s="119"/>
      <c r="AKJ36" s="119"/>
      <c r="AKK36" s="119"/>
      <c r="AKL36" s="119"/>
      <c r="AKM36" s="119"/>
      <c r="AKN36" s="119"/>
      <c r="AKO36" s="119"/>
      <c r="AKP36" s="119"/>
      <c r="AKQ36" s="119"/>
      <c r="AKR36" s="119"/>
      <c r="AKS36" s="119"/>
      <c r="AKT36" s="119"/>
      <c r="AKU36" s="119"/>
      <c r="AKV36" s="119"/>
      <c r="AKW36" s="119"/>
      <c r="AKX36" s="119"/>
      <c r="AKY36" s="119"/>
      <c r="AKZ36" s="119"/>
      <c r="ALA36" s="119"/>
      <c r="ALB36" s="119"/>
      <c r="ALC36" s="119"/>
      <c r="ALD36" s="119"/>
      <c r="ALE36" s="119"/>
      <c r="ALF36" s="119"/>
      <c r="ALG36" s="119"/>
      <c r="ALH36" s="119"/>
      <c r="ALI36" s="119"/>
      <c r="ALJ36" s="119"/>
      <c r="ALK36" s="119"/>
      <c r="ALL36" s="119"/>
      <c r="ALM36" s="119"/>
      <c r="ALN36" s="119"/>
      <c r="ALO36" s="119"/>
      <c r="ALP36" s="119"/>
      <c r="ALQ36" s="119"/>
      <c r="ALR36" s="119"/>
      <c r="ALS36" s="119"/>
      <c r="ALT36" s="119"/>
      <c r="ALU36" s="119"/>
      <c r="ALV36" s="119"/>
      <c r="ALW36" s="119"/>
      <c r="ALX36" s="119"/>
      <c r="ALY36" s="119"/>
      <c r="ALZ36" s="119"/>
      <c r="AMA36" s="119"/>
      <c r="AMB36" s="119"/>
    </row>
    <row r="37" spans="1:1024" ht="14.4">
      <c r="C37" s="3"/>
      <c r="D37" s="3"/>
      <c r="O37" s="13"/>
      <c r="P37" s="13"/>
    </row>
    <row r="38" spans="1:1024" ht="17.399999999999999">
      <c r="B38" s="391" t="s">
        <v>149</v>
      </c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146"/>
    </row>
    <row r="39" spans="1:1024" ht="17.399999999999999">
      <c r="B39" s="147" t="s">
        <v>150</v>
      </c>
      <c r="C39" s="148">
        <f t="shared" ref="C39:I39" si="4">C29+C36</f>
        <v>26700826.130000003</v>
      </c>
      <c r="D39" s="148">
        <f t="shared" si="4"/>
        <v>25278759.379999999</v>
      </c>
      <c r="E39" s="148">
        <f t="shared" si="4"/>
        <v>27333965.690000005</v>
      </c>
      <c r="F39" s="148">
        <f t="shared" si="4"/>
        <v>29175846.220000003</v>
      </c>
      <c r="G39" s="148">
        <f t="shared" si="4"/>
        <v>28005215.450000003</v>
      </c>
      <c r="H39" s="148">
        <f t="shared" si="4"/>
        <v>27439983.290000003</v>
      </c>
      <c r="I39" s="148">
        <f t="shared" si="4"/>
        <v>32806111.420000006</v>
      </c>
      <c r="J39" s="148">
        <f>J29+J36-J18</f>
        <v>28711656.650000002</v>
      </c>
      <c r="K39" s="148">
        <f>K29+K36</f>
        <v>29249916.420000002</v>
      </c>
      <c r="L39" s="148">
        <f>L29+L36</f>
        <v>31937971.32</v>
      </c>
      <c r="M39" s="148">
        <f>M29+M36</f>
        <v>26433333.989999991</v>
      </c>
      <c r="N39" s="148">
        <f>N29+N36</f>
        <v>28216807.649999999</v>
      </c>
      <c r="O39" s="149">
        <f>SUM(C39:N39)+0.01</f>
        <v>341290393.62</v>
      </c>
      <c r="P39" s="150" t="e">
        <f>P29+P36</f>
        <v>#VALUE!</v>
      </c>
      <c r="Q39" s="151"/>
      <c r="R39" s="152">
        <f>SUM(D39:O39)</f>
        <v>655879961.10000002</v>
      </c>
      <c r="S39" s="153"/>
      <c r="V39" s="2">
        <f>(150000000-O39)/13</f>
        <v>-14714645.663076924</v>
      </c>
      <c r="Y39" s="148">
        <v>29249916.425000001</v>
      </c>
    </row>
    <row r="40" spans="1:1024" ht="13.8">
      <c r="C40" s="2">
        <f>C29+C44+C45+'1__POR_RECEITA_DETALHADA'!T6+'1__POR_RECEITA_DETALHADA'!B150</f>
        <v>23108502.120000001</v>
      </c>
    </row>
    <row r="41" spans="1:1024" ht="13.8">
      <c r="C41" s="2">
        <f>C29+'1__POR_RECEITA_DETALHADA'!Q6+'1__POR_RECEITA_DETALHADA'!Q7+'1__POR_RECEITA_DETALHADA'!B138</f>
        <v>22714740.140000001</v>
      </c>
      <c r="D41" s="13">
        <f>D39-15072842.32</f>
        <v>10205917.059999999</v>
      </c>
      <c r="G41" s="2">
        <f>C5*0.97</f>
        <v>11427043.105700001</v>
      </c>
      <c r="I41" s="154">
        <f>13006824.2-J5-J6</f>
        <v>-1.0422809282317758E-9</v>
      </c>
      <c r="J41" s="2">
        <f>28711656.65-J39</f>
        <v>0</v>
      </c>
      <c r="K41" s="2" t="s">
        <v>151</v>
      </c>
      <c r="L41" s="2">
        <f>L39-31864595.28</f>
        <v>73376.039999999106</v>
      </c>
      <c r="O41" s="2">
        <f>14/5</f>
        <v>2.8</v>
      </c>
    </row>
    <row r="42" spans="1:1024" ht="13.8">
      <c r="C42" s="2">
        <f>C39-26688676.33</f>
        <v>12149.80000000447</v>
      </c>
      <c r="E42" s="2">
        <f>E39-27582188.04</f>
        <v>-248222.34999999404</v>
      </c>
      <c r="F42" s="14"/>
      <c r="G42" s="2">
        <f>C6*0.97</f>
        <v>2733.5569999999998</v>
      </c>
      <c r="I42" s="2">
        <f>488620.59-488619.38</f>
        <v>1.2100000000209548</v>
      </c>
    </row>
    <row r="43" spans="1:1024" ht="13.8">
      <c r="B43" s="2" t="s">
        <v>152</v>
      </c>
      <c r="C43" s="2">
        <f>(C5+C6)*0.97</f>
        <v>11429776.662699999</v>
      </c>
      <c r="D43" s="2">
        <f>14463257.5-D5-D6</f>
        <v>2343899.5600000005</v>
      </c>
      <c r="E43" s="2">
        <v>46335</v>
      </c>
      <c r="F43" s="2">
        <f>13983373.6-F5-F6</f>
        <v>5.2023096941411495E-10</v>
      </c>
      <c r="G43" s="2">
        <f>C7*0.97</f>
        <v>126544.1145</v>
      </c>
      <c r="H43" s="2">
        <f>32071.48-H16-H18</f>
        <v>0</v>
      </c>
      <c r="I43" s="2" t="s">
        <v>153</v>
      </c>
      <c r="J43" s="14">
        <v>11408111.130000001</v>
      </c>
      <c r="K43" s="14">
        <f>K5+K6</f>
        <v>13628717.870000001</v>
      </c>
      <c r="L43" s="2">
        <f>J43-K43</f>
        <v>-2220606.7400000002</v>
      </c>
    </row>
    <row r="44" spans="1:1024" ht="13.8">
      <c r="B44" s="2" t="s">
        <v>154</v>
      </c>
      <c r="C44" s="2">
        <v>731388.61</v>
      </c>
      <c r="D44" s="2">
        <f>D39-23915417.99</f>
        <v>1363341.3900000006</v>
      </c>
      <c r="F44" s="2">
        <f>F5+F6</f>
        <v>13983373.6</v>
      </c>
      <c r="G44" s="2">
        <f>14015747.1-G5-G6</f>
        <v>-1.0000000969739631E-2</v>
      </c>
      <c r="H44" s="2">
        <f>15835673.25-I5-I6</f>
        <v>9.9999998510611476E-3</v>
      </c>
      <c r="I44" s="2" t="s">
        <v>155</v>
      </c>
      <c r="J44" s="14">
        <v>3050805.35</v>
      </c>
      <c r="K44" s="14">
        <f>K9</f>
        <v>3551090.96</v>
      </c>
      <c r="L44" s="2">
        <f>J44-K44</f>
        <v>-500285.60999999987</v>
      </c>
      <c r="N44" s="2">
        <f>2000/25</f>
        <v>80</v>
      </c>
    </row>
    <row r="45" spans="1:1024" ht="13.8">
      <c r="B45" s="2" t="s">
        <v>156</v>
      </c>
      <c r="C45" s="2">
        <v>908145.8</v>
      </c>
      <c r="D45" s="2">
        <v>15179680.060000001</v>
      </c>
      <c r="E45" s="2">
        <f>C41-D45</f>
        <v>7535060.0800000001</v>
      </c>
      <c r="F45" s="2">
        <v>13983373.6</v>
      </c>
      <c r="I45" s="2" t="s">
        <v>157</v>
      </c>
      <c r="J45" s="14">
        <v>3152547.37</v>
      </c>
      <c r="K45" s="14">
        <v>3125710.2</v>
      </c>
      <c r="L45" s="2">
        <f>J45-K45</f>
        <v>26837.169999999925</v>
      </c>
      <c r="P45" s="14">
        <f>0.85*J9</f>
        <v>2779631.8859999999</v>
      </c>
    </row>
    <row r="46" spans="1:1024" ht="13.8">
      <c r="F46" s="2">
        <f>F45-F44</f>
        <v>0</v>
      </c>
      <c r="G46" s="14">
        <f>C33/0.11</f>
        <v>18220113.09090909</v>
      </c>
      <c r="I46" s="2" t="s">
        <v>158</v>
      </c>
      <c r="J46" s="14">
        <v>194939.96</v>
      </c>
      <c r="K46" s="14">
        <v>194477.06</v>
      </c>
      <c r="L46" s="2">
        <f>J46-K46</f>
        <v>462.89999999999418</v>
      </c>
    </row>
    <row r="47" spans="1:1024" ht="14.4">
      <c r="A47" s="5"/>
      <c r="B47" s="155" t="s">
        <v>159</v>
      </c>
      <c r="C47" s="155" t="s">
        <v>160</v>
      </c>
      <c r="D47" s="155" t="s">
        <v>161</v>
      </c>
      <c r="E47" s="155" t="s">
        <v>162</v>
      </c>
      <c r="F47" s="5"/>
      <c r="G47" s="5"/>
      <c r="H47" s="5"/>
      <c r="I47" s="5"/>
      <c r="J47" s="5">
        <f>J39-28711656.65</f>
        <v>0</v>
      </c>
      <c r="K47" s="5">
        <f>K5+K6</f>
        <v>13628717.870000001</v>
      </c>
      <c r="L47" s="5"/>
      <c r="M47" s="5"/>
      <c r="N47" s="5"/>
      <c r="O47" s="5"/>
      <c r="P47" s="5"/>
      <c r="Q47" s="156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</row>
    <row r="48" spans="1:1024" ht="14.4">
      <c r="B48" s="157" t="s">
        <v>3</v>
      </c>
      <c r="C48" s="158">
        <f>37898042.58+165405.54</f>
        <v>38063448.119999997</v>
      </c>
      <c r="D48" s="158">
        <f>O5+O6+O7</f>
        <v>159047899.67999998</v>
      </c>
      <c r="E48" s="159">
        <f>D48/C48-1</f>
        <v>3.17849426511704</v>
      </c>
      <c r="F48" s="2">
        <f>238511.48-F7</f>
        <v>0</v>
      </c>
      <c r="G48" s="160">
        <f>C48/$C$52</f>
        <v>0.51984861364413004</v>
      </c>
      <c r="H48" s="160"/>
      <c r="I48" s="160"/>
      <c r="J48" s="160"/>
      <c r="K48" s="2">
        <f>K47-13628717.87</f>
        <v>0</v>
      </c>
      <c r="L48" s="14">
        <f>L39-31937971.32</f>
        <v>0</v>
      </c>
      <c r="M48" s="160"/>
      <c r="N48" s="160"/>
      <c r="O48" s="160">
        <f>D48/$D$52</f>
        <v>0.46601926879045796</v>
      </c>
      <c r="P48" s="160"/>
    </row>
    <row r="49" spans="2:16" ht="14.4">
      <c r="B49" s="157" t="s">
        <v>163</v>
      </c>
      <c r="C49" s="158">
        <f>10868456.75+10289913.64</f>
        <v>21158370.390000001</v>
      </c>
      <c r="D49" s="158">
        <f>O8+O9</f>
        <v>81768375.870000005</v>
      </c>
      <c r="E49" s="159">
        <f>D49/C49-1</f>
        <v>2.8645876011626057</v>
      </c>
      <c r="G49" s="160">
        <f>C49/$C$52</f>
        <v>0.28896881542455782</v>
      </c>
      <c r="H49" s="160"/>
      <c r="I49" s="160"/>
      <c r="J49" s="160"/>
      <c r="K49" s="160"/>
      <c r="L49" s="160"/>
      <c r="M49" s="160"/>
      <c r="N49" s="160"/>
      <c r="O49" s="160">
        <f>D49/$D$52</f>
        <v>0.23958592857741742</v>
      </c>
      <c r="P49" s="160"/>
    </row>
    <row r="50" spans="2:16" ht="14.4">
      <c r="B50" s="157" t="s">
        <v>142</v>
      </c>
      <c r="C50" s="158">
        <v>10360011.91</v>
      </c>
      <c r="D50" s="158">
        <f>O36</f>
        <v>80247647.38000001</v>
      </c>
      <c r="E50" s="159">
        <f>D50/C50-1</f>
        <v>6.7459030044686514</v>
      </c>
      <c r="G50" s="160">
        <f>C50/$C$52</f>
        <v>0.14149106543819279</v>
      </c>
      <c r="H50" s="160"/>
      <c r="I50" s="160"/>
      <c r="J50" s="2">
        <f>G5+G6-14015747.1</f>
        <v>1.0000001639127731E-2</v>
      </c>
      <c r="K50" s="160"/>
      <c r="L50" s="160"/>
      <c r="M50" s="160"/>
      <c r="N50" s="160"/>
      <c r="O50" s="160">
        <f>D50/$D$52</f>
        <v>0.2351301087875021</v>
      </c>
      <c r="P50" s="160"/>
    </row>
    <row r="51" spans="2:16" ht="14.4">
      <c r="B51" s="157" t="s">
        <v>164</v>
      </c>
      <c r="C51" s="158">
        <v>3638424.71</v>
      </c>
      <c r="D51" s="158">
        <f>O39-D48-D49-D50</f>
        <v>20226470.690000013</v>
      </c>
      <c r="E51" s="159">
        <f>D51/C51-1</f>
        <v>4.5591285520925382</v>
      </c>
      <c r="G51" s="160">
        <f>C51/$C$52</f>
        <v>4.9691505493119417E-2</v>
      </c>
      <c r="H51" s="14">
        <f>E5+E6-13069979.41</f>
        <v>0</v>
      </c>
      <c r="I51" s="160"/>
      <c r="J51" s="160"/>
      <c r="K51" s="160"/>
      <c r="L51" s="14">
        <f>2004212.44</f>
        <v>2004212.44</v>
      </c>
      <c r="M51" s="160"/>
      <c r="N51" s="160"/>
      <c r="O51" s="160">
        <f>D51/$D$52</f>
        <v>5.9264693844622525E-2</v>
      </c>
      <c r="P51" s="160"/>
    </row>
    <row r="52" spans="2:16" ht="14.4">
      <c r="B52" s="161" t="s">
        <v>12</v>
      </c>
      <c r="C52" s="162">
        <f>SUM(C48:C51)</f>
        <v>73220255.129999995</v>
      </c>
      <c r="D52" s="162">
        <f>SUM(D48:D51)</f>
        <v>341290393.62</v>
      </c>
      <c r="E52" s="163">
        <f>D52/C52-1</f>
        <v>3.6611472879198645</v>
      </c>
      <c r="G52" s="2">
        <f>(E5+E6)-13069979.41</f>
        <v>0</v>
      </c>
      <c r="J52" s="2">
        <f>G5+G6+85.26</f>
        <v>14015832.370000001</v>
      </c>
      <c r="L52" s="14">
        <f>L51/0.11</f>
        <v>18220113.09090909</v>
      </c>
    </row>
    <row r="53" spans="2:16" ht="14.4">
      <c r="B53" s="164"/>
      <c r="G53" s="2">
        <f>209783.92-E7</f>
        <v>0</v>
      </c>
      <c r="P53" s="2">
        <f>16379.19*0.12</f>
        <v>1965.5028</v>
      </c>
    </row>
    <row r="54" spans="2:16" ht="14.4">
      <c r="B54" s="155" t="s">
        <v>159</v>
      </c>
      <c r="C54" s="155" t="s">
        <v>160</v>
      </c>
      <c r="D54" s="155" t="s">
        <v>161</v>
      </c>
      <c r="E54" s="155" t="s">
        <v>162</v>
      </c>
    </row>
    <row r="55" spans="2:16" ht="14.4">
      <c r="B55" s="157" t="s">
        <v>3</v>
      </c>
      <c r="C55" s="158">
        <f>37898042.58+165405.54</f>
        <v>38063448.119999997</v>
      </c>
      <c r="D55" s="158" t="e">
        <f>O12+O13+O14</f>
        <v>#VALUE!</v>
      </c>
      <c r="E55" s="159" t="e">
        <f>D55/C55-1</f>
        <v>#VALUE!</v>
      </c>
      <c r="L55" s="14">
        <f>L52*0.11</f>
        <v>2004212.44</v>
      </c>
    </row>
    <row r="56" spans="2:16" ht="14.4">
      <c r="B56" s="157" t="s">
        <v>163</v>
      </c>
      <c r="C56" s="158">
        <f>10868456.75+10289913.64</f>
        <v>21158370.390000001</v>
      </c>
      <c r="D56" s="158">
        <f>O15+O16</f>
        <v>1151627.8999999999</v>
      </c>
      <c r="E56" s="159">
        <f>D56/C56-1</f>
        <v>-0.9455710492456314</v>
      </c>
      <c r="J56" s="14">
        <f>107516411.21/0.0011</f>
        <v>97742192009.090897</v>
      </c>
    </row>
    <row r="57" spans="2:16" ht="14.4">
      <c r="B57" s="157" t="s">
        <v>142</v>
      </c>
      <c r="C57" s="158">
        <v>10360011.91</v>
      </c>
      <c r="D57" s="158">
        <f>O43</f>
        <v>0</v>
      </c>
      <c r="E57" s="159">
        <f>D57/C57-1</f>
        <v>-1</v>
      </c>
    </row>
    <row r="58" spans="2:16" ht="14.4">
      <c r="B58" s="157" t="s">
        <v>164</v>
      </c>
      <c r="C58" s="158">
        <v>3638424.71</v>
      </c>
      <c r="D58" s="158" t="e">
        <f>O46-D55-D56-D57</f>
        <v>#VALUE!</v>
      </c>
      <c r="E58" s="159" t="e">
        <f>D58/C58-1</f>
        <v>#VALUE!</v>
      </c>
    </row>
    <row r="59" spans="2:16" ht="14.4">
      <c r="B59" s="161" t="s">
        <v>12</v>
      </c>
      <c r="C59" s="162">
        <f>SUM(C55:C58)</f>
        <v>73220255.129999995</v>
      </c>
      <c r="D59" s="162" t="e">
        <f>SUM(D55:D58)</f>
        <v>#VALUE!</v>
      </c>
      <c r="E59" s="163" t="e">
        <f>D59/C59-1</f>
        <v>#VALUE!</v>
      </c>
    </row>
    <row r="60" spans="2:16" ht="14.4">
      <c r="B60" s="164" t="s">
        <v>61</v>
      </c>
    </row>
    <row r="61" spans="2:16" ht="14.4">
      <c r="B61" s="164" t="s">
        <v>67</v>
      </c>
    </row>
    <row r="62" spans="2:16" ht="14.4">
      <c r="B62" s="164" t="s">
        <v>137</v>
      </c>
    </row>
    <row r="63" spans="2:16" ht="14.4">
      <c r="B63" s="164" t="s">
        <v>165</v>
      </c>
    </row>
    <row r="64" spans="2:16" ht="14.4">
      <c r="B64" s="164" t="s">
        <v>139</v>
      </c>
      <c r="E64" s="108" t="s">
        <v>134</v>
      </c>
      <c r="G64" s="108" t="s">
        <v>134</v>
      </c>
    </row>
    <row r="65" spans="2:5" ht="14.4">
      <c r="B65" s="164" t="s">
        <v>166</v>
      </c>
    </row>
    <row r="66" spans="2:5" ht="14.4">
      <c r="B66" s="164" t="s">
        <v>141</v>
      </c>
    </row>
    <row r="67" spans="2:5" ht="14.4">
      <c r="B67" s="164" t="s">
        <v>82</v>
      </c>
    </row>
    <row r="68" spans="2:5" ht="14.4">
      <c r="B68" s="164" t="s">
        <v>102</v>
      </c>
    </row>
    <row r="69" spans="2:5" ht="14.4">
      <c r="B69" s="164" t="s">
        <v>103</v>
      </c>
    </row>
    <row r="70" spans="2:5" ht="14.4">
      <c r="B70" s="164" t="s">
        <v>73</v>
      </c>
    </row>
    <row r="71" spans="2:5" ht="14.4">
      <c r="B71" s="164" t="s">
        <v>74</v>
      </c>
    </row>
    <row r="72" spans="2:5" ht="13.8"/>
    <row r="73" spans="2:5" ht="13.8"/>
    <row r="74" spans="2:5" ht="13.8"/>
    <row r="75" spans="2:5" ht="14.4">
      <c r="B75" s="155" t="s">
        <v>159</v>
      </c>
      <c r="C75" s="155" t="s">
        <v>167</v>
      </c>
      <c r="D75" s="155" t="s">
        <v>168</v>
      </c>
      <c r="E75" s="155" t="s">
        <v>162</v>
      </c>
    </row>
    <row r="76" spans="2:5" ht="14.4">
      <c r="B76" s="165" t="s">
        <v>3</v>
      </c>
      <c r="C76" s="158">
        <f>D48</f>
        <v>159047899.67999998</v>
      </c>
      <c r="D76" s="158">
        <f>C48</f>
        <v>38063448.119999997</v>
      </c>
      <c r="E76" s="159">
        <f>D76/C76-1</f>
        <v>-0.76067934127654235</v>
      </c>
    </row>
    <row r="77" spans="2:5" ht="14.4">
      <c r="B77" s="165" t="s">
        <v>163</v>
      </c>
      <c r="C77" s="158">
        <f>D49</f>
        <v>81768375.870000005</v>
      </c>
      <c r="D77" s="158">
        <f>C49</f>
        <v>21158370.390000001</v>
      </c>
      <c r="E77" s="159">
        <f>D77/C77-1</f>
        <v>-0.74124017794313568</v>
      </c>
    </row>
    <row r="78" spans="2:5" ht="14.4">
      <c r="B78" s="165" t="s">
        <v>142</v>
      </c>
      <c r="C78" s="158">
        <f>D50</f>
        <v>80247647.38000001</v>
      </c>
      <c r="D78" s="158">
        <f>C50</f>
        <v>10360011.91</v>
      </c>
      <c r="E78" s="159">
        <f>D78/C78-1</f>
        <v>-0.87089949365192221</v>
      </c>
    </row>
    <row r="79" spans="2:5" ht="14.4">
      <c r="B79" s="165" t="s">
        <v>164</v>
      </c>
      <c r="C79" s="158">
        <f>D51</f>
        <v>20226470.690000013</v>
      </c>
      <c r="D79" s="158">
        <f>C51</f>
        <v>3638424.71</v>
      </c>
      <c r="E79" s="159">
        <f>D79/C79-1</f>
        <v>-0.82011569068256474</v>
      </c>
    </row>
    <row r="80" spans="2:5" ht="14.4">
      <c r="B80" s="161" t="s">
        <v>12</v>
      </c>
      <c r="C80" s="162">
        <f>SUM(C76:C79)</f>
        <v>341290393.62</v>
      </c>
      <c r="D80" s="162">
        <f>SUM(D76:D79)</f>
        <v>73220255.129999995</v>
      </c>
      <c r="E80" s="163">
        <f>D80/C80-1</f>
        <v>-0.78546054474792815</v>
      </c>
    </row>
    <row r="81" spans="1:8" ht="13.8"/>
    <row r="82" spans="1:8" ht="13.8">
      <c r="B82" s="392" t="s">
        <v>169</v>
      </c>
      <c r="C82" s="392"/>
      <c r="D82" s="392"/>
    </row>
    <row r="83" spans="1:8" ht="13.8"/>
    <row r="84" spans="1:8" ht="31.2">
      <c r="B84" s="166" t="s">
        <v>159</v>
      </c>
      <c r="C84" s="166" t="s">
        <v>170</v>
      </c>
      <c r="D84" s="166" t="s">
        <v>171</v>
      </c>
    </row>
    <row r="85" spans="1:8" ht="14.4">
      <c r="B85" s="167" t="s">
        <v>3</v>
      </c>
      <c r="C85" s="168">
        <f>D48</f>
        <v>159047899.67999998</v>
      </c>
      <c r="D85" s="169">
        <f>C85/$C$89</f>
        <v>0.46601926879045796</v>
      </c>
    </row>
    <row r="86" spans="1:8" ht="14.4">
      <c r="B86" s="170" t="s">
        <v>163</v>
      </c>
      <c r="C86" s="171">
        <f>D49</f>
        <v>81768375.870000005</v>
      </c>
      <c r="D86" s="172">
        <f>C86/$C$89</f>
        <v>0.23958592857741742</v>
      </c>
    </row>
    <row r="87" spans="1:8" ht="14.4">
      <c r="B87" s="167" t="s">
        <v>172</v>
      </c>
      <c r="C87" s="168">
        <f>D50</f>
        <v>80247647.38000001</v>
      </c>
      <c r="D87" s="169">
        <f>C87/$C$89</f>
        <v>0.2351301087875021</v>
      </c>
    </row>
    <row r="88" spans="1:8" ht="14.4">
      <c r="B88" s="170" t="s">
        <v>164</v>
      </c>
      <c r="C88" s="171">
        <f>D51</f>
        <v>20226470.690000013</v>
      </c>
      <c r="D88" s="172">
        <f>C88/$C$89</f>
        <v>5.9264693844622525E-2</v>
      </c>
    </row>
    <row r="89" spans="1:8" ht="15.6">
      <c r="B89" s="173" t="s">
        <v>12</v>
      </c>
      <c r="C89" s="174">
        <f>SUM(C85:C88)</f>
        <v>341290393.62</v>
      </c>
      <c r="D89" s="175">
        <f>SUM(D85:D88)</f>
        <v>1</v>
      </c>
    </row>
    <row r="92" spans="1:8" ht="46.8">
      <c r="A92" s="166" t="s">
        <v>173</v>
      </c>
      <c r="B92" s="166" t="s">
        <v>174</v>
      </c>
      <c r="C92" s="166" t="s">
        <v>175</v>
      </c>
      <c r="D92" s="166" t="s">
        <v>176</v>
      </c>
      <c r="E92" s="166" t="s">
        <v>177</v>
      </c>
      <c r="F92" s="166" t="s">
        <v>178</v>
      </c>
      <c r="G92" s="166" t="s">
        <v>179</v>
      </c>
      <c r="H92" s="166" t="s">
        <v>180</v>
      </c>
    </row>
    <row r="93" spans="1:8" ht="14.4">
      <c r="A93" s="176">
        <v>1</v>
      </c>
      <c r="B93" s="177" t="s">
        <v>181</v>
      </c>
      <c r="C93" s="178"/>
      <c r="D93" s="178"/>
      <c r="E93" s="178"/>
      <c r="F93" s="179">
        <v>13006824.199999999</v>
      </c>
      <c r="G93" s="180">
        <f>G94+G95</f>
        <v>13003518.23</v>
      </c>
      <c r="H93" s="181">
        <f>F93-G93</f>
        <v>3305.9699999988079</v>
      </c>
    </row>
    <row r="94" spans="1:8" ht="27.6">
      <c r="A94" s="182"/>
      <c r="B94" s="183"/>
      <c r="C94" s="183" t="s">
        <v>182</v>
      </c>
      <c r="D94" s="184" t="s">
        <v>183</v>
      </c>
      <c r="E94" s="184" t="s">
        <v>184</v>
      </c>
      <c r="F94" s="185"/>
      <c r="G94" s="186">
        <v>12988403.35</v>
      </c>
      <c r="H94" s="187"/>
    </row>
    <row r="95" spans="1:8" ht="41.4">
      <c r="A95" s="188"/>
      <c r="B95" s="189"/>
      <c r="C95" s="189" t="s">
        <v>185</v>
      </c>
      <c r="D95" s="190" t="s">
        <v>183</v>
      </c>
      <c r="E95" s="190" t="s">
        <v>186</v>
      </c>
      <c r="F95" s="191"/>
      <c r="G95" s="192">
        <v>15114.88</v>
      </c>
      <c r="H95" s="193"/>
    </row>
    <row r="96" spans="1:8" ht="28.8">
      <c r="A96" s="194">
        <v>2</v>
      </c>
      <c r="B96" s="195" t="s">
        <v>187</v>
      </c>
      <c r="C96" s="196" t="s">
        <v>188</v>
      </c>
      <c r="D96" s="196">
        <v>6491</v>
      </c>
      <c r="E96" s="196" t="s">
        <v>189</v>
      </c>
      <c r="F96" s="197">
        <v>488620.59</v>
      </c>
      <c r="G96" s="198">
        <v>488619.38</v>
      </c>
      <c r="H96" s="199">
        <f>F96-G96</f>
        <v>1.2100000000209548</v>
      </c>
    </row>
    <row r="97" spans="1:10" ht="28.8">
      <c r="A97" s="200">
        <v>3</v>
      </c>
      <c r="B97" s="201" t="s">
        <v>190</v>
      </c>
      <c r="C97" s="178"/>
      <c r="D97" s="178"/>
      <c r="E97" s="178"/>
      <c r="F97" s="179">
        <v>31812.13</v>
      </c>
      <c r="G97" s="180">
        <f>G98+G99</f>
        <v>33812.26</v>
      </c>
      <c r="H97" s="181">
        <f>F97-G97</f>
        <v>-2000.130000000001</v>
      </c>
    </row>
    <row r="98" spans="1:10" ht="14.4">
      <c r="A98" s="202"/>
      <c r="B98" s="203"/>
      <c r="C98" s="204" t="s">
        <v>191</v>
      </c>
      <c r="D98" s="205" t="s">
        <v>192</v>
      </c>
      <c r="E98" s="205" t="s">
        <v>193</v>
      </c>
      <c r="F98" s="206">
        <v>31812.13</v>
      </c>
      <c r="G98" s="207">
        <v>31812.13</v>
      </c>
      <c r="H98" s="187"/>
    </row>
    <row r="99" spans="1:10" ht="28.8">
      <c r="A99" s="208"/>
      <c r="B99" s="209"/>
      <c r="C99" s="210" t="s">
        <v>194</v>
      </c>
      <c r="D99" s="211" t="s">
        <v>192</v>
      </c>
      <c r="E99" s="211" t="s">
        <v>195</v>
      </c>
      <c r="F99" s="212">
        <v>2000.13</v>
      </c>
      <c r="G99" s="213">
        <v>2000.13</v>
      </c>
      <c r="H99" s="193"/>
      <c r="I99" s="214" t="s">
        <v>196</v>
      </c>
    </row>
    <row r="100" spans="1:10" ht="15.6">
      <c r="A100" s="215"/>
      <c r="B100" s="173" t="s">
        <v>12</v>
      </c>
      <c r="C100" s="174">
        <f t="shared" ref="C100:H100" si="5">SUM(C93:C99)</f>
        <v>0</v>
      </c>
      <c r="D100" s="174">
        <f t="shared" si="5"/>
        <v>6491</v>
      </c>
      <c r="E100" s="174">
        <f t="shared" si="5"/>
        <v>0</v>
      </c>
      <c r="F100" s="174">
        <f t="shared" si="5"/>
        <v>13561069.180000002</v>
      </c>
      <c r="G100" s="174">
        <f t="shared" si="5"/>
        <v>26563280.359999996</v>
      </c>
      <c r="H100" s="174">
        <f t="shared" si="5"/>
        <v>1307.0499999988278</v>
      </c>
    </row>
    <row r="101" spans="1:10" ht="13.8">
      <c r="A101" s="216"/>
    </row>
    <row r="105" spans="1:10" ht="13.5" customHeight="1">
      <c r="B105" s="393" t="s">
        <v>197</v>
      </c>
      <c r="C105" s="394" t="s">
        <v>198</v>
      </c>
      <c r="D105" s="395" t="s">
        <v>199</v>
      </c>
      <c r="E105" s="395"/>
      <c r="F105" s="395"/>
      <c r="G105" s="395"/>
      <c r="H105" s="395" t="s">
        <v>200</v>
      </c>
      <c r="I105" s="394" t="s">
        <v>201</v>
      </c>
      <c r="J105" s="394" t="s">
        <v>202</v>
      </c>
    </row>
    <row r="106" spans="1:10" ht="51">
      <c r="B106" s="393"/>
      <c r="C106" s="393"/>
      <c r="D106" s="218" t="s">
        <v>47</v>
      </c>
      <c r="E106" s="218" t="s">
        <v>203</v>
      </c>
      <c r="F106" s="218" t="s">
        <v>204</v>
      </c>
      <c r="G106" s="218" t="s">
        <v>205</v>
      </c>
      <c r="H106" s="395"/>
      <c r="I106" s="395"/>
      <c r="J106" s="395"/>
    </row>
    <row r="107" spans="1:10" ht="13.8">
      <c r="B107" s="217" t="s">
        <v>47</v>
      </c>
      <c r="C107" s="219">
        <v>31864595.280000001</v>
      </c>
      <c r="D107" s="220">
        <v>-7842.23</v>
      </c>
      <c r="E107" s="220">
        <v>0</v>
      </c>
      <c r="F107" s="220">
        <v>0</v>
      </c>
      <c r="G107" s="220">
        <v>-7842.23</v>
      </c>
      <c r="H107" s="220">
        <v>31856753.050000001</v>
      </c>
      <c r="I107" s="219" t="e">
        <f>I108</f>
        <v>#VALUE!</v>
      </c>
      <c r="J107" s="221" t="e">
        <f t="shared" ref="J107:J124" si="6">C107-I107</f>
        <v>#VALUE!</v>
      </c>
    </row>
    <row r="108" spans="1:10" ht="13.8">
      <c r="B108" s="217" t="s">
        <v>206</v>
      </c>
      <c r="C108" s="219">
        <v>31864595.280000001</v>
      </c>
      <c r="D108" s="220">
        <v>-7842.23</v>
      </c>
      <c r="E108" s="220">
        <v>0</v>
      </c>
      <c r="F108" s="220">
        <v>0</v>
      </c>
      <c r="G108" s="220">
        <v>-7842.23</v>
      </c>
      <c r="H108" s="220">
        <v>31856753.050000001</v>
      </c>
      <c r="I108" s="219" t="e">
        <f>SUM(I109:I124)</f>
        <v>#VALUE!</v>
      </c>
      <c r="J108" s="221" t="e">
        <f t="shared" si="6"/>
        <v>#VALUE!</v>
      </c>
    </row>
    <row r="109" spans="1:10" ht="13.8">
      <c r="B109" s="217" t="s">
        <v>207</v>
      </c>
      <c r="C109" s="219">
        <v>3774369.66</v>
      </c>
      <c r="D109" s="220">
        <v>0</v>
      </c>
      <c r="E109" s="220">
        <v>0</v>
      </c>
      <c r="F109" s="220">
        <v>0</v>
      </c>
      <c r="G109" s="220">
        <v>0</v>
      </c>
      <c r="H109" s="220">
        <v>3774369.66</v>
      </c>
      <c r="I109" s="219">
        <f>L9</f>
        <v>3784652.07</v>
      </c>
      <c r="J109" s="221">
        <f t="shared" si="6"/>
        <v>-10282.409999999683</v>
      </c>
    </row>
    <row r="110" spans="1:10" ht="13.8">
      <c r="B110" s="217" t="s">
        <v>208</v>
      </c>
      <c r="C110" s="219">
        <v>3988909.85</v>
      </c>
      <c r="D110" s="220">
        <v>0</v>
      </c>
      <c r="E110" s="220">
        <v>0</v>
      </c>
      <c r="F110" s="220">
        <v>0</v>
      </c>
      <c r="G110" s="220">
        <v>0</v>
      </c>
      <c r="H110" s="220">
        <v>3988909.85</v>
      </c>
      <c r="I110" s="219" t="e">
        <f>L8+L10</f>
        <v>#VALUE!</v>
      </c>
      <c r="J110" s="221" t="e">
        <f t="shared" si="6"/>
        <v>#VALUE!</v>
      </c>
    </row>
    <row r="111" spans="1:10" ht="13.8">
      <c r="B111" s="217" t="s">
        <v>209</v>
      </c>
      <c r="C111" s="219">
        <v>14515956.460000001</v>
      </c>
      <c r="D111" s="220">
        <v>-7842.23</v>
      </c>
      <c r="E111" s="220">
        <v>0</v>
      </c>
      <c r="F111" s="220">
        <v>0</v>
      </c>
      <c r="G111" s="220">
        <v>-7842.23</v>
      </c>
      <c r="H111" s="220">
        <v>14508114.23</v>
      </c>
      <c r="I111" s="219">
        <f>L5+L6</f>
        <v>14574529.440000001</v>
      </c>
      <c r="J111" s="221">
        <f t="shared" si="6"/>
        <v>-58572.980000000447</v>
      </c>
    </row>
    <row r="112" spans="1:10" ht="13.8">
      <c r="B112" s="217" t="s">
        <v>210</v>
      </c>
      <c r="C112" s="219">
        <v>44411.13</v>
      </c>
      <c r="D112" s="220">
        <v>0</v>
      </c>
      <c r="E112" s="220">
        <v>0</v>
      </c>
      <c r="F112" s="220">
        <v>0</v>
      </c>
      <c r="G112" s="220">
        <v>0</v>
      </c>
      <c r="H112" s="220">
        <v>44411.13</v>
      </c>
      <c r="I112" s="219">
        <f>L25</f>
        <v>44411.13</v>
      </c>
      <c r="J112" s="221">
        <f t="shared" si="6"/>
        <v>0</v>
      </c>
    </row>
    <row r="113" spans="2:17" customFormat="1" ht="13.8">
      <c r="B113" s="217" t="s">
        <v>211</v>
      </c>
      <c r="C113" s="219">
        <v>241522.21</v>
      </c>
      <c r="D113" s="220">
        <v>0</v>
      </c>
      <c r="E113" s="220">
        <v>0</v>
      </c>
      <c r="F113" s="220">
        <v>0</v>
      </c>
      <c r="G113" s="220">
        <v>0</v>
      </c>
      <c r="H113" s="220">
        <v>241522.21</v>
      </c>
      <c r="I113" s="219">
        <f>L31</f>
        <v>241522.21</v>
      </c>
      <c r="J113" s="221">
        <f t="shared" si="6"/>
        <v>0</v>
      </c>
      <c r="K113" s="2"/>
      <c r="L113" s="2"/>
      <c r="M113" s="2"/>
      <c r="N113" s="2"/>
      <c r="O113" s="2"/>
      <c r="P113" s="2"/>
      <c r="Q113" s="14"/>
    </row>
    <row r="114" spans="2:17" customFormat="1" ht="13.8">
      <c r="B114" s="217" t="s">
        <v>212</v>
      </c>
      <c r="C114" s="219">
        <v>3526724.52</v>
      </c>
      <c r="D114" s="220">
        <v>0</v>
      </c>
      <c r="E114" s="220">
        <v>0</v>
      </c>
      <c r="F114" s="220">
        <v>0</v>
      </c>
      <c r="G114" s="220">
        <v>0</v>
      </c>
      <c r="H114" s="220">
        <v>3526724.52</v>
      </c>
      <c r="I114" s="219">
        <f>L32</f>
        <v>3526724.52</v>
      </c>
      <c r="J114" s="221">
        <f t="shared" si="6"/>
        <v>0</v>
      </c>
      <c r="K114" s="2"/>
      <c r="L114" s="2"/>
      <c r="M114" s="2"/>
      <c r="N114" s="2"/>
      <c r="O114" s="2"/>
      <c r="P114" s="2"/>
      <c r="Q114" s="14"/>
    </row>
    <row r="115" spans="2:17" customFormat="1" ht="13.8">
      <c r="B115" s="217" t="s">
        <v>213</v>
      </c>
      <c r="C115" s="219">
        <v>77718.789999999994</v>
      </c>
      <c r="D115" s="220">
        <v>0</v>
      </c>
      <c r="E115" s="220">
        <v>0</v>
      </c>
      <c r="F115" s="220">
        <v>0</v>
      </c>
      <c r="G115" s="220">
        <v>0</v>
      </c>
      <c r="H115" s="220">
        <v>77718.789999999994</v>
      </c>
      <c r="I115" s="219">
        <f>L15</f>
        <v>77718.789999999994</v>
      </c>
      <c r="J115" s="221">
        <f t="shared" si="6"/>
        <v>0</v>
      </c>
      <c r="K115" s="2"/>
      <c r="L115" s="2"/>
      <c r="M115" s="2"/>
      <c r="N115" s="2"/>
      <c r="O115" s="2"/>
      <c r="P115" s="2"/>
      <c r="Q115" s="14"/>
    </row>
    <row r="116" spans="2:17" customFormat="1" ht="13.8">
      <c r="B116" s="217" t="s">
        <v>214</v>
      </c>
      <c r="C116" s="219">
        <v>32401.65</v>
      </c>
      <c r="D116" s="220">
        <v>0</v>
      </c>
      <c r="E116" s="220">
        <v>0</v>
      </c>
      <c r="F116" s="220">
        <v>0</v>
      </c>
      <c r="G116" s="220">
        <v>0</v>
      </c>
      <c r="H116" s="220">
        <v>32401.65</v>
      </c>
      <c r="I116" s="219">
        <f>L16+L18</f>
        <v>32401.649999999998</v>
      </c>
      <c r="J116" s="221">
        <f t="shared" si="6"/>
        <v>0</v>
      </c>
      <c r="K116" s="2"/>
      <c r="L116" s="2"/>
      <c r="M116" s="2"/>
      <c r="N116" s="2"/>
      <c r="O116" s="2"/>
      <c r="P116" s="2"/>
      <c r="Q116" s="14"/>
    </row>
    <row r="117" spans="2:17" customFormat="1" ht="13.8">
      <c r="B117" s="217" t="s">
        <v>215</v>
      </c>
      <c r="C117" s="219">
        <v>380187.44</v>
      </c>
      <c r="D117" s="220">
        <v>0</v>
      </c>
      <c r="E117" s="220">
        <v>0</v>
      </c>
      <c r="F117" s="220">
        <v>0</v>
      </c>
      <c r="G117" s="220">
        <v>0</v>
      </c>
      <c r="H117" s="220">
        <v>380187.44</v>
      </c>
      <c r="I117" s="219">
        <f>L7</f>
        <v>383030.9</v>
      </c>
      <c r="J117" s="221">
        <f t="shared" si="6"/>
        <v>-2843.460000000021</v>
      </c>
      <c r="K117" s="2"/>
      <c r="L117" s="2"/>
      <c r="M117" s="2"/>
      <c r="N117" s="2"/>
      <c r="O117" s="2"/>
      <c r="P117" s="2"/>
      <c r="Q117" s="14"/>
    </row>
    <row r="118" spans="2:17" customFormat="1" ht="13.8">
      <c r="B118" s="217" t="s">
        <v>216</v>
      </c>
      <c r="C118" s="219">
        <v>17204.8</v>
      </c>
      <c r="D118" s="220">
        <v>0</v>
      </c>
      <c r="E118" s="220">
        <v>0</v>
      </c>
      <c r="F118" s="220">
        <v>0</v>
      </c>
      <c r="G118" s="220">
        <v>0</v>
      </c>
      <c r="H118" s="220">
        <v>17204.8</v>
      </c>
      <c r="I118" s="219" t="e">
        <f>L27+L28</f>
        <v>#VALUE!</v>
      </c>
      <c r="J118" s="221" t="e">
        <f t="shared" si="6"/>
        <v>#VALUE!</v>
      </c>
      <c r="K118" s="2"/>
      <c r="L118" s="2"/>
      <c r="M118" s="2"/>
      <c r="N118" s="2"/>
      <c r="O118" s="2"/>
      <c r="P118" s="2"/>
      <c r="Q118" s="14"/>
    </row>
    <row r="119" spans="2:17" customFormat="1" ht="13.8">
      <c r="B119" s="217" t="s">
        <v>217</v>
      </c>
      <c r="C119" s="219">
        <v>2206.66</v>
      </c>
      <c r="D119" s="220">
        <v>0</v>
      </c>
      <c r="E119" s="220">
        <v>0</v>
      </c>
      <c r="F119" s="220">
        <v>0</v>
      </c>
      <c r="G119" s="220">
        <v>0</v>
      </c>
      <c r="H119" s="220">
        <v>2206.66</v>
      </c>
      <c r="I119" s="219">
        <f>L23</f>
        <v>2206.66</v>
      </c>
      <c r="J119" s="221">
        <f t="shared" si="6"/>
        <v>0</v>
      </c>
      <c r="K119" s="2"/>
      <c r="L119" s="2"/>
      <c r="M119" s="2"/>
      <c r="N119" s="2"/>
      <c r="O119" s="2"/>
      <c r="P119" s="2"/>
      <c r="Q119" s="14"/>
    </row>
    <row r="120" spans="2:17" customFormat="1" ht="20.399999999999999">
      <c r="B120" s="217" t="s">
        <v>218</v>
      </c>
      <c r="C120" s="219">
        <v>1364599.59</v>
      </c>
      <c r="D120" s="220">
        <v>0</v>
      </c>
      <c r="E120" s="220">
        <v>0</v>
      </c>
      <c r="F120" s="220">
        <v>0</v>
      </c>
      <c r="G120" s="220">
        <v>0</v>
      </c>
      <c r="H120" s="220">
        <v>1364599.59</v>
      </c>
      <c r="I120" s="219">
        <f>L22</f>
        <v>1364599.59</v>
      </c>
      <c r="J120" s="221">
        <f t="shared" si="6"/>
        <v>0</v>
      </c>
      <c r="K120" s="2"/>
      <c r="L120" s="2"/>
      <c r="M120" s="2"/>
      <c r="N120" s="2"/>
      <c r="O120" s="2"/>
      <c r="P120" s="2"/>
      <c r="Q120" s="14"/>
    </row>
    <row r="121" spans="2:17" customFormat="1" ht="13.8">
      <c r="B121" s="217" t="s">
        <v>219</v>
      </c>
      <c r="C121" s="219">
        <v>172274.19</v>
      </c>
      <c r="D121" s="220">
        <v>0</v>
      </c>
      <c r="E121" s="220">
        <v>0</v>
      </c>
      <c r="F121" s="220">
        <v>0</v>
      </c>
      <c r="G121" s="220">
        <v>0</v>
      </c>
      <c r="H121" s="220">
        <v>172274.19</v>
      </c>
      <c r="I121" s="219">
        <f>L26</f>
        <v>173951.38</v>
      </c>
      <c r="J121" s="221">
        <f t="shared" si="6"/>
        <v>-1677.1900000000023</v>
      </c>
      <c r="K121" s="2"/>
      <c r="L121" s="2"/>
      <c r="M121" s="2"/>
      <c r="N121" s="2"/>
      <c r="O121" s="2"/>
      <c r="P121" s="2"/>
      <c r="Q121" s="14"/>
    </row>
    <row r="122" spans="2:17" customFormat="1" ht="13.8">
      <c r="B122" s="217" t="s">
        <v>220</v>
      </c>
      <c r="C122" s="219">
        <v>619249.57999999996</v>
      </c>
      <c r="D122" s="220">
        <v>0</v>
      </c>
      <c r="E122" s="220">
        <v>0</v>
      </c>
      <c r="F122" s="220">
        <v>0</v>
      </c>
      <c r="G122" s="220">
        <v>0</v>
      </c>
      <c r="H122" s="220">
        <v>619249.57999999996</v>
      </c>
      <c r="I122" s="219">
        <f>L34</f>
        <v>619249.57999999996</v>
      </c>
      <c r="J122" s="221">
        <f t="shared" si="6"/>
        <v>0</v>
      </c>
      <c r="K122" s="2"/>
      <c r="L122" s="2"/>
      <c r="M122" s="2"/>
      <c r="N122" s="2"/>
      <c r="O122" s="2"/>
      <c r="P122" s="2"/>
      <c r="Q122" s="14"/>
    </row>
    <row r="123" spans="2:17" customFormat="1" ht="13.8">
      <c r="B123" s="217" t="s">
        <v>221</v>
      </c>
      <c r="C123" s="219">
        <v>2307247.56</v>
      </c>
      <c r="D123" s="220">
        <v>0</v>
      </c>
      <c r="E123" s="220">
        <v>0</v>
      </c>
      <c r="F123" s="220">
        <v>0</v>
      </c>
      <c r="G123" s="220">
        <v>0</v>
      </c>
      <c r="H123" s="220">
        <v>2307247.56</v>
      </c>
      <c r="I123" s="219">
        <f>L33</f>
        <v>2307247.56</v>
      </c>
      <c r="J123" s="221">
        <f t="shared" si="6"/>
        <v>0</v>
      </c>
      <c r="K123" s="2"/>
      <c r="L123" s="2"/>
      <c r="M123" s="2"/>
      <c r="N123" s="2"/>
      <c r="O123" s="2"/>
      <c r="P123" s="2"/>
      <c r="Q123" s="14"/>
    </row>
    <row r="124" spans="2:17" customFormat="1" ht="13.8">
      <c r="B124" s="217" t="s">
        <v>222</v>
      </c>
      <c r="C124" s="219">
        <v>799611.19</v>
      </c>
      <c r="D124" s="220">
        <v>0</v>
      </c>
      <c r="E124" s="220">
        <v>0</v>
      </c>
      <c r="F124" s="220">
        <v>0</v>
      </c>
      <c r="G124" s="220">
        <v>0</v>
      </c>
      <c r="H124" s="220">
        <v>799611.19</v>
      </c>
      <c r="I124" s="219">
        <f>L35</f>
        <v>799611.19</v>
      </c>
      <c r="J124" s="221">
        <f t="shared" si="6"/>
        <v>0</v>
      </c>
      <c r="K124" s="2"/>
      <c r="L124" s="2"/>
      <c r="M124" s="2"/>
      <c r="N124" s="2"/>
      <c r="O124" s="2"/>
      <c r="P124" s="2"/>
      <c r="Q124" s="14"/>
    </row>
    <row r="129" spans="2:10" ht="13.8">
      <c r="B129" s="222"/>
      <c r="C129" s="222"/>
      <c r="D129" s="222"/>
      <c r="E129" s="222"/>
      <c r="F129" s="222"/>
      <c r="G129" s="222"/>
      <c r="H129" s="222"/>
    </row>
    <row r="131" spans="2:10" ht="15.75" customHeight="1">
      <c r="B131" s="400" t="s">
        <v>223</v>
      </c>
      <c r="C131" s="400"/>
      <c r="D131" s="400"/>
      <c r="E131" s="400"/>
      <c r="F131" s="400"/>
      <c r="G131" s="400"/>
    </row>
    <row r="133" spans="2:10" ht="15" customHeight="1">
      <c r="B133" s="401" t="s">
        <v>197</v>
      </c>
      <c r="C133" s="397" t="s">
        <v>224</v>
      </c>
      <c r="D133" s="397" t="s">
        <v>199</v>
      </c>
      <c r="E133" s="397"/>
      <c r="F133" s="397"/>
      <c r="G133" s="397"/>
      <c r="H133" s="397" t="s">
        <v>200</v>
      </c>
      <c r="I133" s="396" t="s">
        <v>201</v>
      </c>
      <c r="J133" s="398" t="s">
        <v>202</v>
      </c>
    </row>
    <row r="134" spans="2:10" ht="36">
      <c r="B134" s="401"/>
      <c r="C134" s="401"/>
      <c r="D134" s="224" t="s">
        <v>47</v>
      </c>
      <c r="E134" s="224" t="s">
        <v>203</v>
      </c>
      <c r="F134" s="224" t="s">
        <v>204</v>
      </c>
      <c r="G134" s="224" t="s">
        <v>225</v>
      </c>
      <c r="H134" s="397"/>
      <c r="I134" s="397"/>
      <c r="J134" s="397"/>
    </row>
    <row r="135" spans="2:10" ht="13.8">
      <c r="B135" s="223" t="s">
        <v>47</v>
      </c>
      <c r="C135" s="225">
        <v>31663203.43</v>
      </c>
      <c r="D135" s="225">
        <v>-20412.48</v>
      </c>
      <c r="E135" s="226">
        <v>0</v>
      </c>
      <c r="F135" s="226">
        <v>0</v>
      </c>
      <c r="G135" s="225">
        <v>-20412.48</v>
      </c>
      <c r="H135" s="225">
        <v>31642790.949999999</v>
      </c>
      <c r="I135" s="219" t="e">
        <f>I136</f>
        <v>#VALUE!</v>
      </c>
      <c r="J135" s="221" t="e">
        <f t="shared" ref="J135:J152" si="7">C135-I135</f>
        <v>#VALUE!</v>
      </c>
    </row>
    <row r="136" spans="2:10" ht="13.8">
      <c r="B136" s="223" t="s">
        <v>226</v>
      </c>
      <c r="C136" s="225">
        <v>31663203.43</v>
      </c>
      <c r="D136" s="225">
        <v>-20412.48</v>
      </c>
      <c r="E136" s="226">
        <v>0</v>
      </c>
      <c r="F136" s="226">
        <v>0</v>
      </c>
      <c r="G136" s="225">
        <v>-20412.48</v>
      </c>
      <c r="H136" s="225">
        <v>31642790.949999999</v>
      </c>
      <c r="I136" s="219" t="e">
        <f>SUM(I137:I152)</f>
        <v>#VALUE!</v>
      </c>
      <c r="J136" s="221" t="e">
        <f t="shared" si="7"/>
        <v>#VALUE!</v>
      </c>
    </row>
    <row r="137" spans="2:10" ht="13.8">
      <c r="B137" s="223" t="s">
        <v>227</v>
      </c>
      <c r="C137" s="225">
        <v>3280240.68</v>
      </c>
      <c r="D137" s="226">
        <v>0</v>
      </c>
      <c r="E137" s="226">
        <v>0</v>
      </c>
      <c r="F137" s="226">
        <v>0</v>
      </c>
      <c r="G137" s="226">
        <v>0</v>
      </c>
      <c r="H137" s="225">
        <v>3280240.68</v>
      </c>
      <c r="I137" s="219">
        <f>C9</f>
        <v>3426628.14</v>
      </c>
      <c r="J137" s="221">
        <f t="shared" si="7"/>
        <v>-146387.45999999996</v>
      </c>
    </row>
    <row r="138" spans="2:10" ht="13.8">
      <c r="B138" s="223" t="s">
        <v>228</v>
      </c>
      <c r="C138" s="225">
        <v>3607927.42</v>
      </c>
      <c r="D138" s="226">
        <v>0</v>
      </c>
      <c r="E138" s="226">
        <v>0</v>
      </c>
      <c r="F138" s="226">
        <v>0</v>
      </c>
      <c r="G138" s="226">
        <v>0</v>
      </c>
      <c r="H138" s="225">
        <v>3607927.42</v>
      </c>
      <c r="I138" s="219">
        <f>C8</f>
        <v>3490715.29</v>
      </c>
      <c r="J138" s="221">
        <f t="shared" si="7"/>
        <v>117212.12999999989</v>
      </c>
    </row>
    <row r="139" spans="2:10" ht="13.8">
      <c r="B139" s="223" t="s">
        <v>229</v>
      </c>
      <c r="C139" s="225">
        <v>11135317.789999999</v>
      </c>
      <c r="D139" s="225">
        <v>-20412.48</v>
      </c>
      <c r="E139" s="226">
        <v>0</v>
      </c>
      <c r="F139" s="226">
        <v>0</v>
      </c>
      <c r="G139" s="225">
        <v>-20412.48</v>
      </c>
      <c r="H139" s="225">
        <v>11114905.310000001</v>
      </c>
      <c r="I139" s="219">
        <f>C5+C6</f>
        <v>11783274.91</v>
      </c>
      <c r="J139" s="221">
        <f t="shared" si="7"/>
        <v>-647957.12000000104</v>
      </c>
    </row>
    <row r="140" spans="2:10" ht="13.8">
      <c r="B140" s="223" t="s">
        <v>230</v>
      </c>
      <c r="C140" s="225">
        <v>42535.42</v>
      </c>
      <c r="D140" s="226">
        <v>0</v>
      </c>
      <c r="E140" s="226">
        <v>0</v>
      </c>
      <c r="F140" s="226">
        <v>0</v>
      </c>
      <c r="G140" s="226">
        <v>0</v>
      </c>
      <c r="H140" s="225">
        <v>42535.42</v>
      </c>
      <c r="I140" s="219">
        <f>C25</f>
        <v>46855.12</v>
      </c>
      <c r="J140" s="221">
        <f t="shared" si="7"/>
        <v>-4319.7000000000044</v>
      </c>
    </row>
    <row r="141" spans="2:10" ht="13.8">
      <c r="B141" s="223" t="s">
        <v>231</v>
      </c>
      <c r="C141" s="225">
        <v>273984.19</v>
      </c>
      <c r="D141" s="226">
        <v>0</v>
      </c>
      <c r="E141" s="226">
        <v>0</v>
      </c>
      <c r="F141" s="226">
        <v>0</v>
      </c>
      <c r="G141" s="226">
        <v>0</v>
      </c>
      <c r="H141" s="225">
        <v>273984.19</v>
      </c>
      <c r="I141" s="219">
        <f>C31</f>
        <v>232077.88</v>
      </c>
      <c r="J141" s="221">
        <f t="shared" si="7"/>
        <v>41906.31</v>
      </c>
    </row>
    <row r="142" spans="2:10" ht="13.8">
      <c r="B142" s="223" t="s">
        <v>232</v>
      </c>
      <c r="C142" s="225">
        <v>3687367.52</v>
      </c>
      <c r="D142" s="226">
        <v>0</v>
      </c>
      <c r="E142" s="226">
        <v>0</v>
      </c>
      <c r="F142" s="226">
        <v>0</v>
      </c>
      <c r="G142" s="226">
        <v>0</v>
      </c>
      <c r="H142" s="225">
        <v>3687367.52</v>
      </c>
      <c r="I142" s="219">
        <f>C32</f>
        <v>3018833.85</v>
      </c>
      <c r="J142" s="221">
        <f t="shared" si="7"/>
        <v>668533.66999999993</v>
      </c>
    </row>
    <row r="143" spans="2:10" ht="13.8">
      <c r="B143" s="223" t="s">
        <v>233</v>
      </c>
      <c r="C143" s="225">
        <v>28033</v>
      </c>
      <c r="D143" s="226">
        <v>0</v>
      </c>
      <c r="E143" s="226">
        <v>0</v>
      </c>
      <c r="F143" s="226">
        <v>0</v>
      </c>
      <c r="G143" s="226">
        <v>0</v>
      </c>
      <c r="H143" s="225">
        <v>28033</v>
      </c>
      <c r="I143" s="219">
        <f>C15</f>
        <v>45619.75</v>
      </c>
      <c r="J143" s="221">
        <f t="shared" si="7"/>
        <v>-17586.75</v>
      </c>
    </row>
    <row r="144" spans="2:10" ht="13.8">
      <c r="B144" s="223" t="s">
        <v>234</v>
      </c>
      <c r="C144" s="225">
        <v>2066.61</v>
      </c>
      <c r="D144" s="226">
        <v>0</v>
      </c>
      <c r="E144" s="226">
        <v>0</v>
      </c>
      <c r="F144" s="226">
        <v>0</v>
      </c>
      <c r="G144" s="226">
        <v>0</v>
      </c>
      <c r="H144" s="225">
        <v>2066.61</v>
      </c>
      <c r="I144" s="219" t="e">
        <f>C16+C18</f>
        <v>#VALUE!</v>
      </c>
      <c r="J144" s="221" t="e">
        <f t="shared" si="7"/>
        <v>#VALUE!</v>
      </c>
    </row>
    <row r="145" spans="2:10" ht="13.8">
      <c r="B145" s="223" t="s">
        <v>187</v>
      </c>
      <c r="C145" s="225">
        <v>438011.11</v>
      </c>
      <c r="D145" s="226">
        <v>0</v>
      </c>
      <c r="E145" s="226">
        <v>0</v>
      </c>
      <c r="F145" s="226">
        <v>0</v>
      </c>
      <c r="G145" s="226">
        <v>0</v>
      </c>
      <c r="H145" s="225">
        <v>438011.11</v>
      </c>
      <c r="I145" s="219">
        <f>C7</f>
        <v>130457.85</v>
      </c>
      <c r="J145" s="221">
        <f t="shared" si="7"/>
        <v>307553.26</v>
      </c>
    </row>
    <row r="146" spans="2:10" ht="13.8">
      <c r="B146" s="223" t="s">
        <v>235</v>
      </c>
      <c r="C146" s="225">
        <v>11469.49</v>
      </c>
      <c r="D146" s="226">
        <v>0</v>
      </c>
      <c r="E146" s="226">
        <v>0</v>
      </c>
      <c r="F146" s="226">
        <v>0</v>
      </c>
      <c r="G146" s="226">
        <v>0</v>
      </c>
      <c r="H146" s="225">
        <v>11469.49</v>
      </c>
      <c r="I146" s="219" t="e">
        <f>C27+C28</f>
        <v>#VALUE!</v>
      </c>
      <c r="J146" s="221" t="e">
        <f t="shared" si="7"/>
        <v>#VALUE!</v>
      </c>
    </row>
    <row r="147" spans="2:10" ht="13.8">
      <c r="B147" s="223" t="s">
        <v>236</v>
      </c>
      <c r="C147" s="225">
        <v>2497.66</v>
      </c>
      <c r="D147" s="226">
        <v>0</v>
      </c>
      <c r="E147" s="226">
        <v>0</v>
      </c>
      <c r="F147" s="226">
        <v>0</v>
      </c>
      <c r="G147" s="226">
        <v>0</v>
      </c>
      <c r="H147" s="225">
        <v>2497.66</v>
      </c>
      <c r="I147" s="219" t="str">
        <f>C23</f>
        <v xml:space="preserve">- </v>
      </c>
      <c r="J147" s="221" t="e">
        <f t="shared" si="7"/>
        <v>#VALUE!</v>
      </c>
    </row>
    <row r="148" spans="2:10" ht="13.8">
      <c r="B148" s="223" t="s">
        <v>237</v>
      </c>
      <c r="C148" s="225">
        <v>1411068.72</v>
      </c>
      <c r="D148" s="226">
        <v>0</v>
      </c>
      <c r="E148" s="226">
        <v>0</v>
      </c>
      <c r="F148" s="226">
        <v>0</v>
      </c>
      <c r="G148" s="226">
        <v>0</v>
      </c>
      <c r="H148" s="225">
        <v>1411068.72</v>
      </c>
      <c r="I148" s="219">
        <f>C22</f>
        <v>1726750.74</v>
      </c>
      <c r="J148" s="221">
        <f t="shared" si="7"/>
        <v>-315682.02</v>
      </c>
    </row>
    <row r="149" spans="2:10" ht="13.8">
      <c r="B149" s="223" t="s">
        <v>238</v>
      </c>
      <c r="C149" s="226">
        <v>100.43</v>
      </c>
      <c r="D149" s="226">
        <v>0</v>
      </c>
      <c r="E149" s="226">
        <v>0</v>
      </c>
      <c r="F149" s="226">
        <v>0</v>
      </c>
      <c r="G149" s="226">
        <v>0</v>
      </c>
      <c r="H149" s="226">
        <v>100.43</v>
      </c>
      <c r="I149" s="219">
        <f>C24</f>
        <v>359.33</v>
      </c>
      <c r="J149" s="221">
        <f t="shared" si="7"/>
        <v>-258.89999999999998</v>
      </c>
    </row>
    <row r="150" spans="2:10" ht="13.8">
      <c r="B150" s="223" t="s">
        <v>239</v>
      </c>
      <c r="C150" s="225">
        <v>82538.8</v>
      </c>
      <c r="D150" s="226">
        <v>0</v>
      </c>
      <c r="E150" s="226">
        <v>0</v>
      </c>
      <c r="F150" s="226">
        <v>0</v>
      </c>
      <c r="G150" s="226">
        <v>0</v>
      </c>
      <c r="H150" s="225">
        <v>82538.8</v>
      </c>
      <c r="I150" s="219">
        <f>C26</f>
        <v>188779.54</v>
      </c>
      <c r="J150" s="221">
        <f t="shared" si="7"/>
        <v>-106240.74</v>
      </c>
    </row>
    <row r="151" spans="2:10" ht="13.8">
      <c r="B151" s="223" t="s">
        <v>240</v>
      </c>
      <c r="C151" s="225">
        <v>591390.5</v>
      </c>
      <c r="D151" s="226">
        <v>0</v>
      </c>
      <c r="E151" s="226">
        <v>0</v>
      </c>
      <c r="F151" s="226">
        <v>0</v>
      </c>
      <c r="G151" s="226">
        <v>0</v>
      </c>
      <c r="H151" s="225">
        <v>591390.5</v>
      </c>
      <c r="I151" s="219">
        <f>C34</f>
        <v>586661.43000000005</v>
      </c>
      <c r="J151" s="221">
        <f t="shared" si="7"/>
        <v>4729.0699999999488</v>
      </c>
    </row>
    <row r="152" spans="2:10" ht="13.8">
      <c r="B152" s="223" t="s">
        <v>241</v>
      </c>
      <c r="C152" s="225">
        <v>7068654.0899999999</v>
      </c>
      <c r="D152" s="226">
        <v>0</v>
      </c>
      <c r="E152" s="226">
        <v>0</v>
      </c>
      <c r="F152" s="226">
        <v>0</v>
      </c>
      <c r="G152" s="226">
        <v>0</v>
      </c>
      <c r="H152" s="225">
        <v>7068654.0899999999</v>
      </c>
      <c r="I152" s="219">
        <f>C33</f>
        <v>2004212.44</v>
      </c>
      <c r="J152" s="221">
        <f t="shared" si="7"/>
        <v>5064441.6500000004</v>
      </c>
    </row>
    <row r="153" spans="2:10" ht="13.5" customHeight="1">
      <c r="B153" s="399" t="s">
        <v>242</v>
      </c>
      <c r="C153" s="399"/>
      <c r="D153" s="399"/>
      <c r="E153" s="399"/>
      <c r="F153" s="399"/>
      <c r="G153" s="399"/>
      <c r="H153" s="399"/>
    </row>
  </sheetData>
  <mergeCells count="23">
    <mergeCell ref="I133:I134"/>
    <mergeCell ref="J133:J134"/>
    <mergeCell ref="B153:H153"/>
    <mergeCell ref="B131:G131"/>
    <mergeCell ref="B133:B134"/>
    <mergeCell ref="C133:C134"/>
    <mergeCell ref="D133:G133"/>
    <mergeCell ref="H133:H134"/>
    <mergeCell ref="A30:P30"/>
    <mergeCell ref="A31:A36"/>
    <mergeCell ref="B38:P38"/>
    <mergeCell ref="B82:D82"/>
    <mergeCell ref="B105:B106"/>
    <mergeCell ref="C105:C106"/>
    <mergeCell ref="D105:G105"/>
    <mergeCell ref="H105:H106"/>
    <mergeCell ref="I105:I106"/>
    <mergeCell ref="J105:J106"/>
    <mergeCell ref="B1:O1"/>
    <mergeCell ref="B2:O2"/>
    <mergeCell ref="B4:O4"/>
    <mergeCell ref="A5:A29"/>
    <mergeCell ref="Q5:Q6"/>
  </mergeCells>
  <pageMargins left="0.313194444444444" right="0.113194444444444" top="0.453472222222222" bottom="0.20763888888888901" header="0.511811023622047" footer="0.511811023622047"/>
  <pageSetup paperSize="77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zoomScaleNormal="100" workbookViewId="0">
      <selection activeCell="H4" sqref="H4"/>
    </sheetView>
  </sheetViews>
  <sheetFormatPr defaultColWidth="8.6640625" defaultRowHeight="12.75" customHeight="1"/>
  <cols>
    <col min="1" max="1" width="14.33203125" customWidth="1"/>
    <col min="2" max="2" width="16.88671875" customWidth="1"/>
    <col min="3" max="3" width="17.33203125" customWidth="1"/>
    <col min="4" max="4" width="17.88671875" customWidth="1"/>
    <col min="5" max="6" width="19.109375" customWidth="1"/>
    <col min="10" max="10" width="11.88671875" customWidth="1"/>
    <col min="11" max="11" width="21.33203125" customWidth="1"/>
    <col min="12" max="12" width="28.109375" customWidth="1"/>
  </cols>
  <sheetData>
    <row r="1" spans="1:12" ht="16.8">
      <c r="A1" s="402" t="s">
        <v>243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2"/>
    </row>
    <row r="2" spans="1:12" ht="41.4">
      <c r="A2" s="281"/>
      <c r="B2" s="403" t="s">
        <v>244</v>
      </c>
      <c r="C2" s="403"/>
      <c r="D2" s="403"/>
      <c r="E2" s="403"/>
      <c r="F2" s="403"/>
      <c r="G2" s="404" t="s">
        <v>245</v>
      </c>
      <c r="H2" s="404"/>
      <c r="I2" s="404"/>
      <c r="J2" s="404"/>
      <c r="K2" s="404"/>
      <c r="L2" s="282" t="s">
        <v>246</v>
      </c>
    </row>
    <row r="3" spans="1:12" ht="33.6">
      <c r="A3" s="283" t="s">
        <v>247</v>
      </c>
      <c r="B3" s="284">
        <v>2021</v>
      </c>
      <c r="C3" s="285">
        <v>2022</v>
      </c>
      <c r="D3" s="285">
        <v>2023</v>
      </c>
      <c r="E3" s="285">
        <v>2024</v>
      </c>
      <c r="F3" s="285">
        <v>2025</v>
      </c>
      <c r="G3" s="283" t="s">
        <v>248</v>
      </c>
      <c r="H3" s="283" t="s">
        <v>249</v>
      </c>
      <c r="I3" s="283" t="s">
        <v>250</v>
      </c>
      <c r="J3" s="283" t="s">
        <v>251</v>
      </c>
      <c r="K3" s="283" t="s">
        <v>252</v>
      </c>
      <c r="L3" s="286"/>
    </row>
    <row r="4" spans="1:12" ht="15.6">
      <c r="A4" s="287" t="s">
        <v>25</v>
      </c>
      <c r="B4" s="288">
        <v>11024672.33</v>
      </c>
      <c r="C4" s="288">
        <v>15261166.65</v>
      </c>
      <c r="D4" s="288">
        <v>26688876.329999998</v>
      </c>
      <c r="E4" s="288">
        <v>26700826.129999999</v>
      </c>
      <c r="F4" s="288">
        <v>31663203.4278</v>
      </c>
      <c r="G4" s="289">
        <f t="shared" ref="G4:G17" si="0">C4/B4-1</f>
        <v>0.38427394422161476</v>
      </c>
      <c r="H4" s="289">
        <f t="shared" ref="H4:H17" si="1">D4/C4-1</f>
        <v>0.74880970387673451</v>
      </c>
      <c r="I4" s="290">
        <f t="shared" ref="I4:I17" si="2">E4/C4-1</f>
        <v>0.74959272396124432</v>
      </c>
      <c r="J4" s="291">
        <f t="shared" ref="J4:J17" si="3">E4/D4-1</f>
        <v>4.4774459037699721E-4</v>
      </c>
      <c r="K4" s="291">
        <f>SUM(F4/E4)-1</f>
        <v>0.18585107717788807</v>
      </c>
      <c r="L4" s="292" t="s">
        <v>253</v>
      </c>
    </row>
    <row r="5" spans="1:12" ht="15.6">
      <c r="A5" s="287" t="s">
        <v>27</v>
      </c>
      <c r="B5" s="293">
        <v>12279374.51</v>
      </c>
      <c r="C5" s="293">
        <v>17055894.039999999</v>
      </c>
      <c r="D5" s="293">
        <v>23915417.989999998</v>
      </c>
      <c r="E5" s="293">
        <v>25278759.379999999</v>
      </c>
      <c r="F5" s="293">
        <v>36234389.335100003</v>
      </c>
      <c r="G5" s="294">
        <f t="shared" si="0"/>
        <v>0.38898720175935075</v>
      </c>
      <c r="H5" s="294">
        <f t="shared" si="1"/>
        <v>0.40217909034336374</v>
      </c>
      <c r="I5" s="295">
        <f t="shared" si="2"/>
        <v>0.48211282977693726</v>
      </c>
      <c r="J5" s="296">
        <f t="shared" si="3"/>
        <v>5.7006797479770999E-2</v>
      </c>
      <c r="K5" s="296">
        <f>F5/E5-1</f>
        <v>0.43339270691297682</v>
      </c>
      <c r="L5" s="297">
        <f>F6</f>
        <v>32143076.920000002</v>
      </c>
    </row>
    <row r="6" spans="1:12" ht="15.6">
      <c r="A6" s="287" t="s">
        <v>30</v>
      </c>
      <c r="B6" s="288">
        <v>13134102.210000001</v>
      </c>
      <c r="C6" s="288">
        <v>22507410.68</v>
      </c>
      <c r="D6" s="288">
        <v>27582188.039999999</v>
      </c>
      <c r="E6" s="288">
        <v>27333965.690000001</v>
      </c>
      <c r="F6" s="288">
        <v>32143076.920000002</v>
      </c>
      <c r="G6" s="289">
        <f t="shared" si="0"/>
        <v>0.7136619100514825</v>
      </c>
      <c r="H6" s="289">
        <f t="shared" si="1"/>
        <v>0.22547139838299701</v>
      </c>
      <c r="I6" s="290">
        <f t="shared" si="2"/>
        <v>0.21444292631532513</v>
      </c>
      <c r="J6" s="291">
        <f t="shared" si="3"/>
        <v>-8.9993712478511068E-3</v>
      </c>
      <c r="K6" s="291">
        <f>F6/E6-1</f>
        <v>0.17593902343118084</v>
      </c>
      <c r="L6" s="298"/>
    </row>
    <row r="7" spans="1:12" ht="27" customHeight="1">
      <c r="A7" s="287" t="s">
        <v>33</v>
      </c>
      <c r="B7" s="293">
        <v>11453234.25</v>
      </c>
      <c r="C7" s="293">
        <v>18395783.760000002</v>
      </c>
      <c r="D7" s="293">
        <v>22562340.5</v>
      </c>
      <c r="E7" s="293">
        <v>29175846.219999999</v>
      </c>
      <c r="F7" s="293">
        <v>2352159.29</v>
      </c>
      <c r="G7" s="294">
        <f t="shared" si="0"/>
        <v>0.60616497999244201</v>
      </c>
      <c r="H7" s="294">
        <f t="shared" si="1"/>
        <v>0.22649520098511955</v>
      </c>
      <c r="I7" s="295">
        <f t="shared" si="2"/>
        <v>0.58600723951975819</v>
      </c>
      <c r="J7" s="296">
        <f t="shared" si="3"/>
        <v>0.29312143924075595</v>
      </c>
      <c r="K7" s="296">
        <f>SUM(F7/E7)-1</f>
        <v>-0.91937991199077551</v>
      </c>
      <c r="L7" s="292" t="s">
        <v>254</v>
      </c>
    </row>
    <row r="8" spans="1:12" ht="18">
      <c r="A8" s="287" t="s">
        <v>35</v>
      </c>
      <c r="B8" s="288">
        <v>13645685.050000001</v>
      </c>
      <c r="C8" s="288">
        <v>23800037.75</v>
      </c>
      <c r="D8" s="288">
        <v>28443400.5</v>
      </c>
      <c r="E8" s="288">
        <v>28005215.440000001</v>
      </c>
      <c r="F8" s="288"/>
      <c r="G8" s="289">
        <f t="shared" si="0"/>
        <v>0.74414385666918204</v>
      </c>
      <c r="H8" s="289">
        <f t="shared" si="1"/>
        <v>0.19509896575689245</v>
      </c>
      <c r="I8" s="290">
        <f t="shared" si="2"/>
        <v>0.17668785798459496</v>
      </c>
      <c r="J8" s="291">
        <f t="shared" si="3"/>
        <v>-1.5405508915855459E-2</v>
      </c>
      <c r="K8" s="291"/>
      <c r="L8" s="299"/>
    </row>
    <row r="9" spans="1:12" ht="15.6">
      <c r="A9" s="287" t="s">
        <v>37</v>
      </c>
      <c r="B9" s="293">
        <v>14024557.58</v>
      </c>
      <c r="C9" s="293">
        <v>22055305.09</v>
      </c>
      <c r="D9" s="293">
        <v>28641986.25</v>
      </c>
      <c r="E9" s="293">
        <v>27439983.289999999</v>
      </c>
      <c r="F9" s="293"/>
      <c r="G9" s="294">
        <f t="shared" si="0"/>
        <v>0.57262038136963467</v>
      </c>
      <c r="H9" s="294">
        <f t="shared" si="1"/>
        <v>0.2986438470527637</v>
      </c>
      <c r="I9" s="295">
        <f t="shared" si="2"/>
        <v>0.24414435338921892</v>
      </c>
      <c r="J9" s="296">
        <f t="shared" si="3"/>
        <v>-4.1966466623801324E-2</v>
      </c>
      <c r="K9" s="296"/>
      <c r="L9" s="298"/>
    </row>
    <row r="10" spans="1:12" ht="15.6">
      <c r="A10" s="287" t="s">
        <v>39</v>
      </c>
      <c r="B10" s="288">
        <v>14805106.33</v>
      </c>
      <c r="C10" s="288">
        <v>23094990.170000002</v>
      </c>
      <c r="D10" s="288">
        <v>28998692.370000001</v>
      </c>
      <c r="E10" s="288">
        <v>32806111.43</v>
      </c>
      <c r="F10" s="288"/>
      <c r="G10" s="289">
        <f t="shared" si="0"/>
        <v>0.55993409673809502</v>
      </c>
      <c r="H10" s="289">
        <f t="shared" si="1"/>
        <v>0.25562696310080302</v>
      </c>
      <c r="I10" s="290">
        <f t="shared" si="2"/>
        <v>0.42048605297154795</v>
      </c>
      <c r="J10" s="291">
        <f t="shared" si="3"/>
        <v>0.13129623265147239</v>
      </c>
      <c r="K10" s="291"/>
      <c r="L10" s="292" t="s">
        <v>255</v>
      </c>
    </row>
    <row r="11" spans="1:12" ht="18">
      <c r="A11" s="287" t="s">
        <v>40</v>
      </c>
      <c r="B11" s="293">
        <v>15960023.75</v>
      </c>
      <c r="C11" s="293">
        <v>26074002.960000001</v>
      </c>
      <c r="D11" s="293">
        <v>29865029.329999998</v>
      </c>
      <c r="E11" s="293">
        <v>28711656.66</v>
      </c>
      <c r="F11" s="293"/>
      <c r="G11" s="294">
        <f t="shared" si="0"/>
        <v>0.63370702753496855</v>
      </c>
      <c r="H11" s="294">
        <f t="shared" si="1"/>
        <v>0.14539487380651872</v>
      </c>
      <c r="I11" s="295">
        <f t="shared" si="2"/>
        <v>0.10116028996569537</v>
      </c>
      <c r="J11" s="296">
        <f t="shared" si="3"/>
        <v>-3.8619505685246858E-2</v>
      </c>
      <c r="K11" s="296"/>
      <c r="L11" s="300">
        <f>'[1]2_PROJEÇÕES_MARÇO-2025'!F45</f>
        <v>33664005.700037502</v>
      </c>
    </row>
    <row r="12" spans="1:12" ht="15.6">
      <c r="A12" s="287" t="s">
        <v>41</v>
      </c>
      <c r="B12" s="288">
        <v>14690634.08</v>
      </c>
      <c r="C12" s="288">
        <v>22986159.210000001</v>
      </c>
      <c r="D12" s="288">
        <v>36462420.189999998</v>
      </c>
      <c r="E12" s="288">
        <v>29249916.420000002</v>
      </c>
      <c r="F12" s="288"/>
      <c r="G12" s="289">
        <f t="shared" si="0"/>
        <v>0.56468121694581064</v>
      </c>
      <c r="H12" s="289">
        <f t="shared" si="1"/>
        <v>0.58627719650254684</v>
      </c>
      <c r="I12" s="290">
        <f t="shared" si="2"/>
        <v>0.2725012540274665</v>
      </c>
      <c r="J12" s="291">
        <f t="shared" si="3"/>
        <v>-0.19780650139010958</v>
      </c>
      <c r="K12" s="291"/>
      <c r="L12" s="298"/>
    </row>
    <row r="13" spans="1:12" ht="31.2">
      <c r="A13" s="287" t="s">
        <v>43</v>
      </c>
      <c r="B13" s="293">
        <v>14988969.029999999</v>
      </c>
      <c r="C13" s="293">
        <v>23856414.41</v>
      </c>
      <c r="D13" s="293">
        <v>28649493.59</v>
      </c>
      <c r="E13" s="293">
        <v>31937971.32</v>
      </c>
      <c r="F13" s="293"/>
      <c r="G13" s="294">
        <f t="shared" si="0"/>
        <v>0.59159808538212721</v>
      </c>
      <c r="H13" s="294">
        <f t="shared" si="1"/>
        <v>0.20091364517841637</v>
      </c>
      <c r="I13" s="295">
        <f t="shared" si="2"/>
        <v>0.33875823797780846</v>
      </c>
      <c r="J13" s="296">
        <f t="shared" si="3"/>
        <v>0.11478310147680348</v>
      </c>
      <c r="K13" s="296"/>
      <c r="L13" s="292" t="s">
        <v>256</v>
      </c>
    </row>
    <row r="14" spans="1:12" ht="15.6">
      <c r="A14" s="287" t="s">
        <v>45</v>
      </c>
      <c r="B14" s="288">
        <v>17295634.879999999</v>
      </c>
      <c r="C14" s="288">
        <v>22770509.23</v>
      </c>
      <c r="D14" s="288">
        <v>26013369.550000001</v>
      </c>
      <c r="E14" s="288">
        <v>26433333.989999998</v>
      </c>
      <c r="F14" s="288"/>
      <c r="G14" s="289">
        <f t="shared" si="0"/>
        <v>0.31654659617791392</v>
      </c>
      <c r="H14" s="289">
        <f t="shared" si="1"/>
        <v>0.14241492305879366</v>
      </c>
      <c r="I14" s="290">
        <f t="shared" si="2"/>
        <v>0.16085827167950417</v>
      </c>
      <c r="J14" s="291">
        <f t="shared" si="3"/>
        <v>1.6144176908446495E-2</v>
      </c>
      <c r="K14" s="291"/>
      <c r="L14" s="301">
        <f>L11/E16-1</f>
        <v>-0.90136257471835046</v>
      </c>
    </row>
    <row r="15" spans="1:12" ht="15.6">
      <c r="A15" s="287" t="s">
        <v>46</v>
      </c>
      <c r="B15" s="293">
        <v>17563216.280000001</v>
      </c>
      <c r="C15" s="293">
        <v>21902322.289999999</v>
      </c>
      <c r="D15" s="293">
        <v>24781964.649999999</v>
      </c>
      <c r="E15" s="293">
        <v>28216807.649999999</v>
      </c>
      <c r="F15" s="293"/>
      <c r="G15" s="294">
        <f t="shared" si="0"/>
        <v>0.24705645827188993</v>
      </c>
      <c r="H15" s="294">
        <f t="shared" si="1"/>
        <v>0.13147657686120184</v>
      </c>
      <c r="I15" s="295">
        <f t="shared" si="2"/>
        <v>0.28830209310192734</v>
      </c>
      <c r="J15" s="296">
        <f t="shared" si="3"/>
        <v>0.13860253004597833</v>
      </c>
      <c r="K15" s="296"/>
      <c r="L15" s="2"/>
    </row>
    <row r="16" spans="1:12" ht="31.2">
      <c r="A16" s="302" t="s">
        <v>12</v>
      </c>
      <c r="B16" s="303">
        <f>SUM(B4:B15)</f>
        <v>170865210.27999997</v>
      </c>
      <c r="C16" s="303">
        <f>SUM(C4:C15)</f>
        <v>259759996.23999998</v>
      </c>
      <c r="D16" s="303">
        <f>SUM(D4:D15)</f>
        <v>332605179.28999996</v>
      </c>
      <c r="E16" s="303">
        <f>SUM(E4:E15)</f>
        <v>341290393.62</v>
      </c>
      <c r="F16" s="303">
        <f>SUM(F4:F15)</f>
        <v>102392828.9729</v>
      </c>
      <c r="G16" s="304">
        <f t="shared" si="0"/>
        <v>0.52026264336857397</v>
      </c>
      <c r="H16" s="304">
        <f t="shared" si="1"/>
        <v>0.28043264592095296</v>
      </c>
      <c r="I16" s="304">
        <f t="shared" si="2"/>
        <v>0.31386818047483978</v>
      </c>
      <c r="J16" s="304">
        <f t="shared" si="3"/>
        <v>2.6112685161848725E-2</v>
      </c>
      <c r="K16" s="305"/>
      <c r="L16" s="292" t="s">
        <v>257</v>
      </c>
    </row>
    <row r="17" spans="1:12" ht="19.8">
      <c r="A17" s="302" t="s">
        <v>258</v>
      </c>
      <c r="B17" s="303">
        <f>B16/12</f>
        <v>14238767.523333332</v>
      </c>
      <c r="C17" s="303">
        <f>C16/12</f>
        <v>21646666.353333332</v>
      </c>
      <c r="D17" s="303">
        <f>D16/12</f>
        <v>27717098.274166662</v>
      </c>
      <c r="E17" s="303">
        <f>E16/12</f>
        <v>28440866.135000002</v>
      </c>
      <c r="F17" s="303">
        <f>F16/12</f>
        <v>8532735.7477416676</v>
      </c>
      <c r="G17" s="304">
        <f t="shared" si="0"/>
        <v>0.52026264336857375</v>
      </c>
      <c r="H17" s="304">
        <f t="shared" si="1"/>
        <v>0.28043264592095296</v>
      </c>
      <c r="I17" s="304">
        <f t="shared" si="2"/>
        <v>0.31386818047483978</v>
      </c>
      <c r="J17" s="304">
        <f t="shared" si="3"/>
        <v>2.6112685161848948E-2</v>
      </c>
      <c r="K17" s="306"/>
      <c r="L17" s="307">
        <f>F16</f>
        <v>102392828.9729</v>
      </c>
    </row>
    <row r="18" spans="1:12" ht="31.2">
      <c r="A18" s="308" t="s">
        <v>259</v>
      </c>
      <c r="B18" s="308"/>
      <c r="C18" s="308"/>
      <c r="D18" s="308"/>
      <c r="E18" s="308"/>
      <c r="F18" s="308"/>
      <c r="G18" s="308"/>
      <c r="H18" s="308"/>
      <c r="I18" s="309"/>
      <c r="J18" s="2"/>
      <c r="K18" s="2"/>
      <c r="L18" s="292" t="s">
        <v>260</v>
      </c>
    </row>
    <row r="19" spans="1:12" ht="156" customHeight="1">
      <c r="A19" s="14"/>
      <c r="B19" s="2"/>
      <c r="C19" s="2"/>
      <c r="D19" s="310" t="s">
        <v>261</v>
      </c>
      <c r="E19" s="310"/>
      <c r="F19" s="310" t="s">
        <v>262</v>
      </c>
      <c r="G19" s="405" t="s">
        <v>263</v>
      </c>
      <c r="H19" s="405"/>
      <c r="I19" s="311"/>
      <c r="J19" s="2"/>
      <c r="K19" s="2"/>
      <c r="L19" s="312">
        <f>SUM(E4:E6)</f>
        <v>79313551.200000003</v>
      </c>
    </row>
    <row r="20" spans="1:12" ht="31.2">
      <c r="A20" s="313"/>
      <c r="B20" s="314"/>
      <c r="C20" s="314"/>
      <c r="D20" s="315">
        <f t="shared" ref="D20:D25" si="4">SUM($G$4:$G$14)</f>
        <v>6.0763192968426223</v>
      </c>
      <c r="E20" s="315"/>
      <c r="F20" s="315">
        <v>350000000</v>
      </c>
      <c r="G20" s="406">
        <f t="shared" ref="G20:G25" si="5">F20-D20</f>
        <v>349999993.92368072</v>
      </c>
      <c r="H20" s="406"/>
      <c r="I20" s="316"/>
      <c r="J20" s="2"/>
      <c r="K20" s="2"/>
      <c r="L20" s="292" t="s">
        <v>264</v>
      </c>
    </row>
    <row r="21" spans="1:12" ht="19.8">
      <c r="A21" s="313"/>
      <c r="B21" s="314"/>
      <c r="C21" s="314"/>
      <c r="D21" s="315">
        <f t="shared" si="4"/>
        <v>6.0763192968426223</v>
      </c>
      <c r="E21" s="315"/>
      <c r="F21" s="315">
        <f>F20-2000000</f>
        <v>348000000</v>
      </c>
      <c r="G21" s="406">
        <f t="shared" si="5"/>
        <v>347999993.92368072</v>
      </c>
      <c r="H21" s="406"/>
      <c r="I21" s="316"/>
      <c r="J21" s="2"/>
      <c r="K21" s="2"/>
      <c r="L21" s="317">
        <f>L17/L19-1</f>
        <v>0.29098782520407429</v>
      </c>
    </row>
    <row r="22" spans="1:12" ht="16.8">
      <c r="A22" s="313"/>
      <c r="B22" s="314"/>
      <c r="C22" s="314"/>
      <c r="D22" s="315">
        <f t="shared" si="4"/>
        <v>6.0763192968426223</v>
      </c>
      <c r="E22" s="315"/>
      <c r="F22" s="315">
        <f>F21-2000000</f>
        <v>346000000</v>
      </c>
      <c r="G22" s="406">
        <f t="shared" si="5"/>
        <v>345999993.92368072</v>
      </c>
      <c r="H22" s="406"/>
      <c r="I22" s="316"/>
      <c r="J22" s="2"/>
      <c r="K22" s="2"/>
      <c r="L22" s="2"/>
    </row>
    <row r="23" spans="1:12" ht="69">
      <c r="A23" s="313"/>
      <c r="B23" s="314"/>
      <c r="C23" s="314"/>
      <c r="D23" s="315">
        <f t="shared" si="4"/>
        <v>6.0763192968426223</v>
      </c>
      <c r="E23" s="315"/>
      <c r="F23" s="315">
        <f>F22-2000000</f>
        <v>344000000</v>
      </c>
      <c r="G23" s="406">
        <f t="shared" si="5"/>
        <v>343999993.92368072</v>
      </c>
      <c r="H23" s="406"/>
      <c r="I23" s="316"/>
      <c r="J23" s="2"/>
      <c r="K23" s="2"/>
      <c r="L23" s="318" t="s">
        <v>265</v>
      </c>
    </row>
    <row r="24" spans="1:12" ht="46.8">
      <c r="A24" s="313"/>
      <c r="B24" s="314"/>
      <c r="C24" s="314"/>
      <c r="D24" s="315">
        <f t="shared" si="4"/>
        <v>6.0763192968426223</v>
      </c>
      <c r="E24" s="315"/>
      <c r="F24" s="315">
        <f>F23-2000000</f>
        <v>342000000</v>
      </c>
      <c r="G24" s="406">
        <f t="shared" si="5"/>
        <v>341999993.92368072</v>
      </c>
      <c r="H24" s="406"/>
      <c r="I24" s="316"/>
      <c r="J24" s="2"/>
      <c r="K24" s="2"/>
      <c r="L24" s="319" t="s">
        <v>266</v>
      </c>
    </row>
    <row r="25" spans="1:12" ht="17.399999999999999">
      <c r="A25" s="313"/>
      <c r="B25" s="314"/>
      <c r="C25" s="314"/>
      <c r="D25" s="315">
        <f t="shared" si="4"/>
        <v>6.0763192968426223</v>
      </c>
      <c r="E25" s="315"/>
      <c r="F25" s="315">
        <f>F24-2000000</f>
        <v>340000000</v>
      </c>
      <c r="G25" s="406">
        <f t="shared" si="5"/>
        <v>339999993.92368072</v>
      </c>
      <c r="H25" s="406"/>
      <c r="I25" s="316"/>
      <c r="J25" s="2"/>
      <c r="K25" s="2"/>
      <c r="L25" s="320">
        <f>L17-9000000</f>
        <v>93392828.972900003</v>
      </c>
    </row>
    <row r="26" spans="1:12" ht="16.8">
      <c r="A26" s="321"/>
      <c r="B26" s="322"/>
      <c r="C26" s="322"/>
      <c r="D26" s="322"/>
      <c r="E26" s="322"/>
      <c r="F26" s="322"/>
      <c r="G26" s="322"/>
      <c r="H26" s="323"/>
      <c r="I26" s="309"/>
      <c r="J26" s="2"/>
      <c r="K26" s="2"/>
      <c r="L26" s="2"/>
    </row>
    <row r="27" spans="1:12" ht="31.2">
      <c r="A27" s="321"/>
      <c r="B27" s="322"/>
      <c r="C27" s="322"/>
      <c r="D27" s="322"/>
      <c r="E27" s="322"/>
      <c r="F27" s="322"/>
      <c r="G27" s="322"/>
      <c r="H27" s="323"/>
      <c r="I27" s="309"/>
      <c r="J27" s="2"/>
      <c r="K27" s="2"/>
      <c r="L27" s="319" t="s">
        <v>267</v>
      </c>
    </row>
    <row r="28" spans="1:12" ht="17.399999999999999">
      <c r="A28" s="321"/>
      <c r="B28" s="322"/>
      <c r="C28" s="322"/>
      <c r="D28" s="322"/>
      <c r="E28" s="322"/>
      <c r="F28" s="322">
        <f>26433583.89-26433333.98</f>
        <v>249.91000000014901</v>
      </c>
      <c r="G28" s="322"/>
      <c r="H28" s="323"/>
      <c r="I28" s="309"/>
      <c r="J28" s="2"/>
      <c r="K28" s="2"/>
      <c r="L28" s="324">
        <f>L19/L25-1</f>
        <v>-0.15075330651976948</v>
      </c>
    </row>
  </sheetData>
  <mergeCells count="10">
    <mergeCell ref="G21:H21"/>
    <mergeCell ref="G22:H22"/>
    <mergeCell ref="G23:H23"/>
    <mergeCell ref="G24:H24"/>
    <mergeCell ref="G25:H25"/>
    <mergeCell ref="A1:K1"/>
    <mergeCell ref="B2:F2"/>
    <mergeCell ref="G2:K2"/>
    <mergeCell ref="G19:H19"/>
    <mergeCell ref="G20:H2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A179"/>
  <sheetViews>
    <sheetView topLeftCell="A14" zoomScaleNormal="100" workbookViewId="0">
      <selection activeCell="J27" sqref="J27"/>
    </sheetView>
  </sheetViews>
  <sheetFormatPr defaultColWidth="11.5546875" defaultRowHeight="13.95" customHeight="1"/>
  <cols>
    <col min="1" max="1" width="6.44140625" style="2" customWidth="1"/>
    <col min="2" max="2" width="100.44140625" style="2" customWidth="1"/>
    <col min="3" max="3" width="16.6640625" style="2" customWidth="1"/>
    <col min="4" max="4" width="15.88671875" style="2" customWidth="1"/>
    <col min="5" max="5" width="19.88671875" style="2" customWidth="1"/>
    <col min="6" max="6" width="18" style="2" customWidth="1"/>
    <col min="7" max="7" width="16.109375" style="2" customWidth="1"/>
    <col min="8" max="8" width="16" style="2" customWidth="1"/>
    <col min="9" max="9" width="17.44140625" style="227" customWidth="1"/>
    <col min="10" max="10" width="16.5546875" style="227" customWidth="1"/>
    <col min="11" max="11" width="16.5546875" style="339" customWidth="1"/>
    <col min="12" max="12" width="16" style="227" customWidth="1"/>
    <col min="13" max="13" width="16.88671875" style="227" customWidth="1"/>
    <col min="14" max="14" width="16.109375" style="227" customWidth="1"/>
    <col min="15" max="15" width="16.44140625" style="227" customWidth="1"/>
    <col min="16" max="16" width="17.88671875" style="2" customWidth="1"/>
    <col min="17" max="17" width="18.44140625" style="2" customWidth="1"/>
    <col min="18" max="18" width="8.6640625" style="2" customWidth="1"/>
    <col min="19" max="19" width="18.109375" style="2" customWidth="1"/>
    <col min="20" max="1015" width="8.6640625" style="2" customWidth="1"/>
  </cols>
  <sheetData>
    <row r="1" spans="1:1015" ht="17.399999999999999">
      <c r="A1" s="70"/>
      <c r="B1" s="409" t="s">
        <v>268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228"/>
    </row>
    <row r="2" spans="1:1015" ht="14.4">
      <c r="A2" s="70"/>
      <c r="B2"/>
      <c r="C2"/>
      <c r="D2"/>
      <c r="E2"/>
      <c r="F2"/>
      <c r="G2"/>
      <c r="H2"/>
      <c r="I2"/>
      <c r="J2"/>
      <c r="K2" s="363"/>
      <c r="L2"/>
      <c r="M2"/>
      <c r="N2"/>
      <c r="O2"/>
      <c r="P2"/>
      <c r="Q2" s="228"/>
    </row>
    <row r="3" spans="1:1015" ht="33" customHeight="1">
      <c r="A3" s="229"/>
      <c r="B3" s="230"/>
      <c r="C3" s="231" t="s">
        <v>113</v>
      </c>
      <c r="D3" s="231" t="s">
        <v>114</v>
      </c>
      <c r="E3" s="231" t="s">
        <v>115</v>
      </c>
      <c r="F3" s="231" t="s">
        <v>116</v>
      </c>
      <c r="G3" s="231" t="s">
        <v>117</v>
      </c>
      <c r="H3" s="232" t="s">
        <v>118</v>
      </c>
      <c r="I3" s="232" t="s">
        <v>119</v>
      </c>
      <c r="J3" s="232" t="s">
        <v>120</v>
      </c>
      <c r="K3" s="362" t="s">
        <v>269</v>
      </c>
      <c r="L3" s="232" t="s">
        <v>121</v>
      </c>
      <c r="M3" s="232" t="s">
        <v>122</v>
      </c>
      <c r="N3" s="232" t="s">
        <v>123</v>
      </c>
      <c r="O3" s="232" t="s">
        <v>124</v>
      </c>
      <c r="P3" s="233" t="s">
        <v>12</v>
      </c>
      <c r="Q3" s="233" t="s">
        <v>125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</row>
    <row r="4" spans="1:1015" ht="15" customHeight="1">
      <c r="A4" s="229"/>
      <c r="B4" s="410" t="s">
        <v>270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233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</row>
    <row r="5" spans="1:1015" ht="14.4">
      <c r="A5" s="411" t="s">
        <v>271</v>
      </c>
      <c r="B5" s="234" t="s">
        <v>272</v>
      </c>
      <c r="C5" s="235">
        <v>12132541.949999999</v>
      </c>
      <c r="D5" s="235">
        <v>14095018.199999999</v>
      </c>
      <c r="E5" s="235">
        <v>17211343.809999999</v>
      </c>
      <c r="F5" s="235">
        <v>17227004.960000001</v>
      </c>
      <c r="G5" s="235">
        <v>17722595.620000001</v>
      </c>
      <c r="H5" s="235">
        <v>19322803.699999999</v>
      </c>
      <c r="I5" s="235">
        <v>19765792.73</v>
      </c>
      <c r="J5" s="235">
        <v>17989998.440000001</v>
      </c>
      <c r="K5" s="364">
        <v>19245855.809999999</v>
      </c>
      <c r="L5" s="235"/>
      <c r="M5" s="235"/>
      <c r="N5" s="235"/>
      <c r="O5" s="235"/>
      <c r="P5" s="235">
        <f>SUM(C5+D5+E5+F5+G5+H5+I5+J5)</f>
        <v>135467099.41</v>
      </c>
      <c r="Q5" s="236">
        <f t="shared" ref="Q5:Q20" si="0">P5/$P$42</f>
        <v>0.37027082949336765</v>
      </c>
    </row>
    <row r="6" spans="1:1015" ht="14.4">
      <c r="A6" s="411"/>
      <c r="B6" s="234" t="s">
        <v>273</v>
      </c>
      <c r="C6" s="235">
        <v>123.44</v>
      </c>
      <c r="D6" s="235">
        <v>559.05999999999995</v>
      </c>
      <c r="E6" s="235">
        <v>15966.32</v>
      </c>
      <c r="F6" s="235">
        <v>12850.2</v>
      </c>
      <c r="G6" s="235">
        <v>36240.74</v>
      </c>
      <c r="H6" s="235">
        <v>17925.72</v>
      </c>
      <c r="I6" s="235">
        <v>3181.1</v>
      </c>
      <c r="J6" s="235">
        <v>9931.26</v>
      </c>
      <c r="K6" s="364">
        <v>10238.370000000001</v>
      </c>
      <c r="L6" s="235"/>
      <c r="M6" s="235"/>
      <c r="N6" s="235"/>
      <c r="O6" s="235"/>
      <c r="P6" s="235">
        <f t="shared" ref="P6:P31" si="1">SUM(C6+D6+E6+F6+G6+H6+I6+J6)</f>
        <v>96777.84</v>
      </c>
      <c r="Q6" s="236">
        <f t="shared" si="0"/>
        <v>2.6452187467986189E-4</v>
      </c>
      <c r="S6" s="237"/>
    </row>
    <row r="7" spans="1:1015" ht="14.4">
      <c r="A7" s="411"/>
      <c r="B7" s="234" t="s">
        <v>274</v>
      </c>
      <c r="C7" s="235">
        <v>121669.9</v>
      </c>
      <c r="D7" s="235">
        <v>84458.06</v>
      </c>
      <c r="E7" s="235">
        <v>455638.39</v>
      </c>
      <c r="F7" s="235">
        <v>107559.12</v>
      </c>
      <c r="G7" s="235">
        <v>112897.31</v>
      </c>
      <c r="H7" s="235">
        <v>156731.15</v>
      </c>
      <c r="I7" s="235">
        <v>146816.23000000001</v>
      </c>
      <c r="J7" s="235">
        <v>104509.19</v>
      </c>
      <c r="K7" s="364">
        <v>135244.73000000001</v>
      </c>
      <c r="L7" s="235"/>
      <c r="M7" s="235"/>
      <c r="N7" s="235"/>
      <c r="O7" s="235"/>
      <c r="P7" s="235">
        <f t="shared" si="1"/>
        <v>1290279.3500000001</v>
      </c>
      <c r="Q7" s="236">
        <f t="shared" si="0"/>
        <v>3.5267072764045334E-3</v>
      </c>
    </row>
    <row r="8" spans="1:1015" ht="14.4">
      <c r="A8" s="411"/>
      <c r="B8" s="234" t="s">
        <v>275</v>
      </c>
      <c r="C8" s="235">
        <v>3825622.05</v>
      </c>
      <c r="D8" s="235">
        <v>3689474.78</v>
      </c>
      <c r="E8" s="235">
        <v>4767496.8</v>
      </c>
      <c r="F8" s="235">
        <v>3803868.06</v>
      </c>
      <c r="G8" s="235">
        <v>4440325.88</v>
      </c>
      <c r="H8" s="235">
        <v>4999301.09</v>
      </c>
      <c r="I8" s="235">
        <v>4464736.71</v>
      </c>
      <c r="J8" s="235">
        <v>4496707.26</v>
      </c>
      <c r="K8" s="364">
        <v>4532154.3099999996</v>
      </c>
      <c r="L8" s="235"/>
      <c r="M8" s="235"/>
      <c r="N8" s="235"/>
      <c r="O8" s="235"/>
      <c r="P8" s="235">
        <f t="shared" si="1"/>
        <v>34487532.630000003</v>
      </c>
      <c r="Q8" s="236">
        <f t="shared" si="0"/>
        <v>9.426441822188332E-2</v>
      </c>
      <c r="S8" s="237"/>
    </row>
    <row r="9" spans="1:1015" ht="14.4">
      <c r="A9" s="411"/>
      <c r="B9" s="234" t="s">
        <v>276</v>
      </c>
      <c r="C9" s="235">
        <v>3341162.67</v>
      </c>
      <c r="D9" s="235">
        <v>3135505.02</v>
      </c>
      <c r="E9" s="235">
        <v>4178974.29</v>
      </c>
      <c r="F9" s="238">
        <v>3172814.21</v>
      </c>
      <c r="G9" s="235">
        <v>3899224.8</v>
      </c>
      <c r="H9" s="235">
        <v>4312644.9400000004</v>
      </c>
      <c r="I9" s="235">
        <v>3879523.37</v>
      </c>
      <c r="J9" s="235">
        <v>3896145.1</v>
      </c>
      <c r="K9" s="364">
        <v>3886503.55</v>
      </c>
      <c r="L9" s="235"/>
      <c r="M9" s="235"/>
      <c r="N9" s="235"/>
      <c r="O9" s="235"/>
      <c r="P9" s="235">
        <f t="shared" si="1"/>
        <v>29815994.400000006</v>
      </c>
      <c r="Q9" s="236">
        <f t="shared" si="0"/>
        <v>8.1495750826142285E-2</v>
      </c>
    </row>
    <row r="10" spans="1:1015" ht="14.4">
      <c r="A10" s="411"/>
      <c r="B10" s="340" t="s">
        <v>277</v>
      </c>
      <c r="C10" s="235"/>
      <c r="D10" s="235"/>
      <c r="E10" s="235"/>
      <c r="F10" s="235"/>
      <c r="G10" s="235"/>
      <c r="H10" s="235"/>
      <c r="I10" s="235"/>
      <c r="J10" s="235"/>
      <c r="K10" s="364"/>
      <c r="L10" s="235"/>
      <c r="M10" s="235"/>
      <c r="N10" s="235"/>
      <c r="O10" s="235"/>
      <c r="P10" s="235">
        <f t="shared" si="1"/>
        <v>0</v>
      </c>
      <c r="Q10" s="236">
        <f t="shared" si="0"/>
        <v>0</v>
      </c>
    </row>
    <row r="11" spans="1:1015" ht="14.4">
      <c r="A11" s="411"/>
      <c r="B11" s="234" t="s">
        <v>278</v>
      </c>
      <c r="C11" s="235"/>
      <c r="D11" s="235"/>
      <c r="E11" s="235"/>
      <c r="F11" s="235"/>
      <c r="G11" s="235">
        <v>655851</v>
      </c>
      <c r="H11" s="235">
        <v>4420260</v>
      </c>
      <c r="I11" s="235">
        <v>-8670</v>
      </c>
      <c r="J11" s="235"/>
      <c r="K11" s="364"/>
      <c r="L11" s="235"/>
      <c r="M11" s="235"/>
      <c r="N11" s="235"/>
      <c r="O11" s="235"/>
      <c r="P11" s="235">
        <f t="shared" si="1"/>
        <v>5067441</v>
      </c>
      <c r="Q11" s="236">
        <f t="shared" si="0"/>
        <v>1.3850784364990933E-2</v>
      </c>
    </row>
    <row r="12" spans="1:1015" ht="14.4">
      <c r="A12" s="411"/>
      <c r="B12" s="340" t="s">
        <v>279</v>
      </c>
      <c r="C12" s="235"/>
      <c r="D12" s="235"/>
      <c r="E12" s="235"/>
      <c r="F12" s="235"/>
      <c r="G12" s="235"/>
      <c r="H12" s="235"/>
      <c r="I12" s="235"/>
      <c r="J12" s="235"/>
      <c r="K12" s="364"/>
      <c r="L12" s="235"/>
      <c r="M12" s="235"/>
      <c r="N12" s="235"/>
      <c r="O12" s="235"/>
      <c r="P12" s="235">
        <f t="shared" si="1"/>
        <v>0</v>
      </c>
      <c r="Q12" s="236">
        <f t="shared" si="0"/>
        <v>0</v>
      </c>
      <c r="S12" s="237"/>
    </row>
    <row r="13" spans="1:1015" ht="14.4">
      <c r="A13" s="411"/>
      <c r="B13" s="340" t="s">
        <v>280</v>
      </c>
      <c r="C13" s="235"/>
      <c r="D13" s="235"/>
      <c r="E13" s="235"/>
      <c r="F13" s="235"/>
      <c r="G13" s="235"/>
      <c r="H13" s="235"/>
      <c r="I13" s="235"/>
      <c r="J13" s="235"/>
      <c r="K13" s="364"/>
      <c r="L13" s="235"/>
      <c r="M13" s="235"/>
      <c r="N13" s="235"/>
      <c r="O13" s="235"/>
      <c r="P13" s="235">
        <f t="shared" si="1"/>
        <v>0</v>
      </c>
      <c r="Q13" s="236">
        <f t="shared" si="0"/>
        <v>0</v>
      </c>
      <c r="S13" s="237"/>
    </row>
    <row r="14" spans="1:1015" ht="14.4">
      <c r="A14" s="411"/>
      <c r="B14" s="340" t="s">
        <v>281</v>
      </c>
      <c r="C14" s="235"/>
      <c r="D14" s="235"/>
      <c r="E14" s="235"/>
      <c r="F14" s="235"/>
      <c r="G14" s="235"/>
      <c r="H14" s="235"/>
      <c r="I14" s="235"/>
      <c r="J14" s="235"/>
      <c r="K14" s="364"/>
      <c r="L14" s="235"/>
      <c r="M14" s="235"/>
      <c r="N14" s="235"/>
      <c r="O14" s="235"/>
      <c r="P14" s="235">
        <f t="shared" si="1"/>
        <v>0</v>
      </c>
      <c r="Q14" s="236">
        <f t="shared" si="0"/>
        <v>0</v>
      </c>
      <c r="S14" s="237"/>
    </row>
    <row r="15" spans="1:1015" ht="14.4">
      <c r="A15" s="411"/>
      <c r="B15" s="340" t="s">
        <v>282</v>
      </c>
      <c r="C15" s="235"/>
      <c r="D15" s="235"/>
      <c r="E15" s="235"/>
      <c r="F15" s="235"/>
      <c r="G15" s="235"/>
      <c r="H15" s="235"/>
      <c r="I15" s="235">
        <v>169.56</v>
      </c>
      <c r="J15" s="235"/>
      <c r="K15" s="364"/>
      <c r="L15" s="235"/>
      <c r="M15" s="235"/>
      <c r="N15" s="235"/>
      <c r="O15" s="235"/>
      <c r="P15" s="235">
        <f t="shared" si="1"/>
        <v>169.56</v>
      </c>
      <c r="Q15" s="236">
        <f t="shared" si="0"/>
        <v>4.6345660401924021E-7</v>
      </c>
    </row>
    <row r="16" spans="1:1015" ht="14.4">
      <c r="A16" s="411"/>
      <c r="B16" s="234" t="s">
        <v>283</v>
      </c>
      <c r="C16" s="235">
        <v>8799.4</v>
      </c>
      <c r="D16" s="235">
        <v>52675.42</v>
      </c>
      <c r="E16" s="235">
        <v>35535.03</v>
      </c>
      <c r="F16" s="235">
        <v>32575.279999999999</v>
      </c>
      <c r="G16" s="235">
        <v>45163.06</v>
      </c>
      <c r="H16" s="235">
        <v>45163.06</v>
      </c>
      <c r="I16" s="235">
        <v>33353.9</v>
      </c>
      <c r="J16" s="235">
        <v>34218.06</v>
      </c>
      <c r="K16" s="364">
        <v>34218.06</v>
      </c>
      <c r="L16" s="235"/>
      <c r="M16" s="235"/>
      <c r="N16" s="235"/>
      <c r="O16" s="235"/>
      <c r="P16" s="235">
        <f t="shared" si="1"/>
        <v>287483.20999999996</v>
      </c>
      <c r="Q16" s="236">
        <f t="shared" si="0"/>
        <v>7.8577490103296801E-4</v>
      </c>
      <c r="S16"/>
      <c r="T16"/>
    </row>
    <row r="17" spans="1:1007" ht="14.4">
      <c r="A17" s="411"/>
      <c r="B17" s="340" t="s">
        <v>284</v>
      </c>
      <c r="C17" s="235"/>
      <c r="D17" s="235"/>
      <c r="E17" s="235"/>
      <c r="F17" s="235"/>
      <c r="G17" s="235"/>
      <c r="H17" s="239"/>
      <c r="I17" s="235"/>
      <c r="J17" s="235"/>
      <c r="K17" s="364"/>
      <c r="L17" s="235"/>
      <c r="M17" s="235"/>
      <c r="N17" s="235"/>
      <c r="O17" s="235"/>
      <c r="P17" s="235">
        <f t="shared" si="1"/>
        <v>0</v>
      </c>
      <c r="Q17" s="236">
        <f t="shared" si="0"/>
        <v>0</v>
      </c>
    </row>
    <row r="18" spans="1:1007" ht="14.4">
      <c r="A18" s="411"/>
      <c r="B18" s="234" t="s">
        <v>285</v>
      </c>
      <c r="C18" s="235">
        <v>691.78</v>
      </c>
      <c r="D18" s="235">
        <v>724.5</v>
      </c>
      <c r="E18" s="235">
        <v>187.78</v>
      </c>
      <c r="F18" s="235"/>
      <c r="G18" s="235"/>
      <c r="H18" s="235"/>
      <c r="I18" s="235"/>
      <c r="J18" s="235"/>
      <c r="K18" s="364"/>
      <c r="L18" s="235"/>
      <c r="M18" s="235"/>
      <c r="N18" s="235"/>
      <c r="O18" s="235"/>
      <c r="P18" s="235">
        <f t="shared" si="1"/>
        <v>1604.06</v>
      </c>
      <c r="Q18" s="236">
        <f t="shared" si="0"/>
        <v>4.3843606997116209E-6</v>
      </c>
    </row>
    <row r="19" spans="1:1007" ht="14.4">
      <c r="A19" s="411"/>
      <c r="B19" s="340" t="s">
        <v>137</v>
      </c>
      <c r="C19" s="235"/>
      <c r="D19" s="235"/>
      <c r="E19" s="235"/>
      <c r="F19" s="235"/>
      <c r="G19" s="235"/>
      <c r="H19" s="235"/>
      <c r="I19" s="235"/>
      <c r="J19" s="235"/>
      <c r="K19" s="364"/>
      <c r="L19" s="235"/>
      <c r="M19" s="235"/>
      <c r="N19" s="235"/>
      <c r="O19" s="235"/>
      <c r="P19" s="235">
        <f t="shared" si="1"/>
        <v>0</v>
      </c>
      <c r="Q19" s="236">
        <f t="shared" si="0"/>
        <v>0</v>
      </c>
    </row>
    <row r="20" spans="1:1007" ht="14.4">
      <c r="A20" s="411"/>
      <c r="B20" s="234" t="s">
        <v>138</v>
      </c>
      <c r="C20" s="235">
        <v>314.94</v>
      </c>
      <c r="D20" s="235"/>
      <c r="E20" s="235"/>
      <c r="F20" s="235"/>
      <c r="G20" s="235"/>
      <c r="H20" s="235"/>
      <c r="I20" s="235"/>
      <c r="J20" s="235"/>
      <c r="K20" s="364"/>
      <c r="L20" s="235"/>
      <c r="M20" s="235"/>
      <c r="N20" s="235"/>
      <c r="O20" s="235"/>
      <c r="P20" s="235">
        <f t="shared" si="1"/>
        <v>314.94</v>
      </c>
      <c r="Q20" s="236">
        <f t="shared" si="0"/>
        <v>8.6082226273778904E-7</v>
      </c>
    </row>
    <row r="21" spans="1:1007" ht="14.4">
      <c r="A21" s="411"/>
      <c r="B21" s="340" t="s">
        <v>286</v>
      </c>
      <c r="C21" s="235"/>
      <c r="D21" s="235"/>
      <c r="E21" s="235"/>
      <c r="F21" s="235"/>
      <c r="G21" s="235"/>
      <c r="H21" s="235"/>
      <c r="I21" s="235"/>
      <c r="J21" s="235"/>
      <c r="K21" s="364"/>
      <c r="L21" s="235"/>
      <c r="M21" s="235"/>
      <c r="N21" s="235"/>
      <c r="O21" s="235"/>
      <c r="P21" s="235">
        <f t="shared" si="1"/>
        <v>0</v>
      </c>
      <c r="Q21" s="236"/>
    </row>
    <row r="22" spans="1:1007" ht="14.4">
      <c r="A22" s="411"/>
      <c r="B22" s="340" t="s">
        <v>287</v>
      </c>
      <c r="C22" s="235"/>
      <c r="D22" s="235"/>
      <c r="E22" s="235"/>
      <c r="F22" s="235"/>
      <c r="G22" s="235"/>
      <c r="H22" s="235"/>
      <c r="I22" s="235"/>
      <c r="J22" s="235"/>
      <c r="K22" s="364"/>
      <c r="L22" s="235"/>
      <c r="M22" s="235"/>
      <c r="N22" s="235"/>
      <c r="O22" s="235"/>
      <c r="P22" s="235">
        <f t="shared" si="1"/>
        <v>0</v>
      </c>
      <c r="Q22" s="236">
        <f>P22/$P$42</f>
        <v>0</v>
      </c>
    </row>
    <row r="23" spans="1:1007" ht="14.4">
      <c r="A23" s="411"/>
      <c r="B23" s="234" t="s">
        <v>288</v>
      </c>
      <c r="C23" s="235">
        <v>3849029.53</v>
      </c>
      <c r="D23" s="235">
        <v>3309462.13</v>
      </c>
      <c r="E23" s="235">
        <v>2335751.34</v>
      </c>
      <c r="F23" s="235">
        <v>2769193.44</v>
      </c>
      <c r="G23" s="235">
        <v>3492059.29</v>
      </c>
      <c r="H23" s="235">
        <v>3661550.16</v>
      </c>
      <c r="I23" s="235">
        <v>2676218.4300000002</v>
      </c>
      <c r="J23" s="235">
        <v>3206290.19</v>
      </c>
      <c r="K23" s="364">
        <v>4106290.19</v>
      </c>
      <c r="L23" s="235"/>
      <c r="M23" s="235"/>
      <c r="N23" s="235"/>
      <c r="O23" s="235"/>
      <c r="P23" s="235">
        <f t="shared" si="1"/>
        <v>25299554.510000002</v>
      </c>
      <c r="Q23" s="236">
        <f>P23/$P$42</f>
        <v>6.9151012127885422E-2</v>
      </c>
    </row>
    <row r="24" spans="1:1007" ht="14.4">
      <c r="A24" s="411"/>
      <c r="B24" s="234" t="s">
        <v>289</v>
      </c>
      <c r="C24" s="235">
        <v>97.74</v>
      </c>
      <c r="D24" s="235">
        <v>5810.3</v>
      </c>
      <c r="E24" s="235">
        <v>3910.5</v>
      </c>
      <c r="F24" s="235">
        <v>5227.4399999999996</v>
      </c>
      <c r="G24" s="235">
        <v>10184.879999999999</v>
      </c>
      <c r="H24" s="235">
        <v>1407.65</v>
      </c>
      <c r="I24" s="235">
        <v>536.6</v>
      </c>
      <c r="J24" s="235">
        <v>1073.2</v>
      </c>
      <c r="K24" s="364">
        <v>1073.2</v>
      </c>
      <c r="L24" s="235"/>
      <c r="M24" s="235"/>
      <c r="N24" s="235"/>
      <c r="O24" s="235"/>
      <c r="P24" s="235">
        <f t="shared" si="1"/>
        <v>28248.31</v>
      </c>
      <c r="Q24" s="236">
        <f>P24/$P$42</f>
        <v>7.7210815179775557E-5</v>
      </c>
    </row>
    <row r="25" spans="1:1007" ht="14.4">
      <c r="A25" s="411"/>
      <c r="B25" s="340" t="s">
        <v>290</v>
      </c>
      <c r="C25"/>
      <c r="D25"/>
      <c r="E25" s="235"/>
      <c r="F25"/>
      <c r="G25" s="235"/>
      <c r="H25" s="235"/>
      <c r="I25" s="235"/>
      <c r="J25" s="235"/>
      <c r="K25" s="364"/>
      <c r="L25" s="235"/>
      <c r="M25" s="235"/>
      <c r="N25" s="235"/>
      <c r="O25" s="235"/>
      <c r="P25" s="235">
        <f t="shared" si="1"/>
        <v>0</v>
      </c>
      <c r="Q25" s="236">
        <f>P25/$P$42</f>
        <v>0</v>
      </c>
    </row>
    <row r="26" spans="1:1007" ht="14.4">
      <c r="A26" s="411"/>
      <c r="B26" s="234" t="s">
        <v>291</v>
      </c>
      <c r="C26" s="235">
        <v>60957.54</v>
      </c>
      <c r="D26" s="235">
        <v>8152.86</v>
      </c>
      <c r="E26" s="235"/>
      <c r="F26" s="235">
        <v>11812.38</v>
      </c>
      <c r="G26" s="235">
        <v>9724.98</v>
      </c>
      <c r="H26" s="235"/>
      <c r="I26" s="235">
        <v>22426.9</v>
      </c>
      <c r="J26" s="235">
        <v>4711500.84</v>
      </c>
      <c r="K26" s="364"/>
      <c r="L26" s="235"/>
      <c r="M26" s="235"/>
      <c r="N26" s="235"/>
      <c r="O26" s="235"/>
      <c r="P26" s="235">
        <f t="shared" si="1"/>
        <v>4824575.5</v>
      </c>
      <c r="Q26" s="236"/>
    </row>
    <row r="27" spans="1:1007" ht="14.4">
      <c r="A27" s="411"/>
      <c r="B27" s="340" t="s">
        <v>292</v>
      </c>
      <c r="C27" s="235">
        <v>0</v>
      </c>
      <c r="D27" s="235"/>
      <c r="E27" s="235"/>
      <c r="F27" s="235"/>
      <c r="G27" s="235"/>
      <c r="H27" s="235"/>
      <c r="I27" s="235"/>
      <c r="J27" s="235"/>
      <c r="K27" s="364"/>
      <c r="L27" s="235"/>
      <c r="M27" s="235"/>
      <c r="N27" s="235"/>
      <c r="O27" s="235"/>
      <c r="P27" s="235">
        <f t="shared" si="1"/>
        <v>0</v>
      </c>
      <c r="Q27" s="236"/>
    </row>
    <row r="28" spans="1:1007" ht="14.4">
      <c r="A28" s="411"/>
      <c r="B28" s="234" t="s">
        <v>293</v>
      </c>
      <c r="C28" s="235">
        <v>910.91</v>
      </c>
      <c r="D28" s="235">
        <v>910.91</v>
      </c>
      <c r="E28" s="235">
        <v>910.91</v>
      </c>
      <c r="F28" s="235">
        <v>910.91</v>
      </c>
      <c r="G28" s="235">
        <v>910.91</v>
      </c>
      <c r="H28" s="235">
        <v>910.91</v>
      </c>
      <c r="I28" s="235">
        <v>910.91</v>
      </c>
      <c r="J28" s="235">
        <v>910.91</v>
      </c>
      <c r="K28" s="364">
        <v>1138.6300000000001</v>
      </c>
      <c r="L28" s="235"/>
      <c r="M28" s="235"/>
      <c r="N28" s="235"/>
      <c r="O28" s="235"/>
      <c r="P28" s="235">
        <f t="shared" si="1"/>
        <v>7287.28</v>
      </c>
      <c r="Q28" s="236">
        <f>P28/$P$42</f>
        <v>1.9918247471911586E-5</v>
      </c>
    </row>
    <row r="29" spans="1:1007" ht="14.4">
      <c r="A29" s="411"/>
      <c r="B29" s="234" t="s">
        <v>294</v>
      </c>
      <c r="C29" s="235">
        <v>30209.08</v>
      </c>
      <c r="D29" s="235">
        <v>33948.25</v>
      </c>
      <c r="E29" s="235">
        <v>65068.1</v>
      </c>
      <c r="F29" s="235">
        <v>59063.199999999997</v>
      </c>
      <c r="G29" s="235">
        <v>50816.07</v>
      </c>
      <c r="H29" s="235">
        <v>48527.17</v>
      </c>
      <c r="I29" s="235">
        <v>81464.03</v>
      </c>
      <c r="J29" s="235">
        <v>93817.3</v>
      </c>
      <c r="K29" s="364">
        <v>126548.4</v>
      </c>
      <c r="L29" s="235"/>
      <c r="M29" s="235"/>
      <c r="N29" s="235"/>
      <c r="O29" s="235"/>
      <c r="P29" s="235">
        <f t="shared" si="1"/>
        <v>462913.2</v>
      </c>
      <c r="Q29" s="236">
        <f>P29/$P$42</f>
        <v>1.2652758883444171E-3</v>
      </c>
    </row>
    <row r="30" spans="1:1007" ht="14.4">
      <c r="A30" s="411"/>
      <c r="B30" s="342" t="s">
        <v>295</v>
      </c>
      <c r="C30" s="235"/>
      <c r="D30" s="235"/>
      <c r="E30" s="235"/>
      <c r="F30" s="235"/>
      <c r="G30" s="235"/>
      <c r="H30" s="235">
        <v>1</v>
      </c>
      <c r="I30" s="235">
        <v>366.66</v>
      </c>
      <c r="J30" s="235">
        <v>5430</v>
      </c>
      <c r="K30" s="364">
        <v>5430</v>
      </c>
      <c r="L30" s="235"/>
      <c r="M30" s="235"/>
      <c r="N30" s="235"/>
      <c r="O30" s="235"/>
      <c r="P30" s="235">
        <f t="shared" si="1"/>
        <v>5797.66</v>
      </c>
      <c r="Q30" s="236">
        <f>P30/$P$42</f>
        <v>1.5846684447146661E-5</v>
      </c>
    </row>
    <row r="31" spans="1:1007" ht="14.4">
      <c r="A31" s="411"/>
      <c r="B31" s="234" t="s">
        <v>296</v>
      </c>
      <c r="C31" s="235">
        <v>13558.56</v>
      </c>
      <c r="D31" s="235">
        <v>16355.54</v>
      </c>
      <c r="E31" s="235">
        <v>17864.060000000001</v>
      </c>
      <c r="F31" s="235">
        <v>17086.41</v>
      </c>
      <c r="G31" s="235">
        <v>5099.55</v>
      </c>
      <c r="H31" s="235">
        <v>26393.58</v>
      </c>
      <c r="I31" s="235">
        <v>16645.740000000002</v>
      </c>
      <c r="J31" s="235">
        <v>9292.11</v>
      </c>
      <c r="K31" s="364">
        <v>9491.4</v>
      </c>
      <c r="L31" s="235"/>
      <c r="M31" s="235"/>
      <c r="N31" s="235"/>
      <c r="O31" s="235"/>
      <c r="P31" s="235">
        <f t="shared" si="1"/>
        <v>122295.55000000002</v>
      </c>
      <c r="Q31" s="236">
        <f>P31/$P$42</f>
        <v>3.3426916896476291E-4</v>
      </c>
    </row>
    <row r="32" spans="1:1007" ht="15.6">
      <c r="A32" s="411"/>
      <c r="B32" s="240">
        <f t="shared" ref="B32:H32" si="2">SUM(B5:B31)</f>
        <v>0</v>
      </c>
      <c r="C32" s="240">
        <f t="shared" si="2"/>
        <v>23385689.489999995</v>
      </c>
      <c r="D32" s="240">
        <f t="shared" si="2"/>
        <v>24433055.030000001</v>
      </c>
      <c r="E32" s="240">
        <f t="shared" si="2"/>
        <v>29088647.330000002</v>
      </c>
      <c r="F32" s="240">
        <f t="shared" si="2"/>
        <v>27219965.610000003</v>
      </c>
      <c r="G32" s="240">
        <f t="shared" si="2"/>
        <v>30481094.089999996</v>
      </c>
      <c r="H32" s="240">
        <f t="shared" si="2"/>
        <v>37013620.129999988</v>
      </c>
      <c r="I32" s="240">
        <f t="shared" ref="I32:Q32" si="3">SUM(I5:I31)</f>
        <v>31083472.870000001</v>
      </c>
      <c r="J32" s="240">
        <f t="shared" si="3"/>
        <v>34559823.859999999</v>
      </c>
      <c r="K32" s="240">
        <f t="shared" si="3"/>
        <v>32094186.649999995</v>
      </c>
      <c r="L32" s="240">
        <f t="shared" si="3"/>
        <v>0</v>
      </c>
      <c r="M32" s="240">
        <f t="shared" si="3"/>
        <v>0</v>
      </c>
      <c r="N32" s="240">
        <f t="shared" si="3"/>
        <v>0</v>
      </c>
      <c r="O32" s="240">
        <f t="shared" si="3"/>
        <v>0</v>
      </c>
      <c r="P32" s="240">
        <f t="shared" si="3"/>
        <v>237265368.41</v>
      </c>
      <c r="Q32" s="240">
        <f t="shared" si="3"/>
        <v>0.6353280285303613</v>
      </c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9"/>
      <c r="DZ32" s="119"/>
      <c r="EA32" s="119"/>
      <c r="EB32" s="119"/>
      <c r="EC32" s="119"/>
      <c r="ED32" s="119"/>
      <c r="EE32" s="119"/>
      <c r="EF32" s="119"/>
      <c r="EG32" s="119"/>
      <c r="EH32" s="119"/>
      <c r="EI32" s="119"/>
      <c r="EJ32" s="119"/>
      <c r="EK32" s="119"/>
      <c r="EL32" s="119"/>
      <c r="EM32" s="119"/>
      <c r="EN32" s="119"/>
      <c r="EO32" s="119"/>
      <c r="EP32" s="119"/>
      <c r="EQ32" s="119"/>
      <c r="ER32" s="119"/>
      <c r="ES32" s="119"/>
      <c r="ET32" s="119"/>
      <c r="EU32" s="119"/>
      <c r="EV32" s="119"/>
      <c r="EW32" s="119"/>
      <c r="EX32" s="119"/>
      <c r="EY32" s="119"/>
      <c r="EZ32" s="119"/>
      <c r="FA32" s="119"/>
      <c r="FB32" s="119"/>
      <c r="FC32" s="119"/>
      <c r="FD32" s="119"/>
      <c r="FE32" s="119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119"/>
      <c r="GL32" s="119"/>
      <c r="GM32" s="119"/>
      <c r="GN32" s="119"/>
      <c r="GO32" s="119"/>
      <c r="GP32" s="119"/>
      <c r="GQ32" s="119"/>
      <c r="GR32" s="119"/>
      <c r="GS32" s="119"/>
      <c r="GT32" s="119"/>
      <c r="GU32" s="119"/>
      <c r="GV32" s="119"/>
      <c r="GW32" s="119"/>
      <c r="GX32" s="119"/>
      <c r="GY32" s="119"/>
      <c r="GZ32" s="119"/>
      <c r="HA32" s="119"/>
      <c r="HB32" s="119"/>
      <c r="HC32" s="119"/>
      <c r="HD32" s="119"/>
      <c r="HE32" s="119"/>
      <c r="HF32" s="119"/>
      <c r="HG32" s="119"/>
      <c r="HH32" s="119"/>
      <c r="HI32" s="119"/>
      <c r="HJ32" s="119"/>
      <c r="HK32" s="119"/>
      <c r="HL32" s="119"/>
      <c r="HM32" s="119"/>
      <c r="HN32" s="119"/>
      <c r="HO32" s="119"/>
      <c r="HP32" s="119"/>
      <c r="HQ32" s="119"/>
      <c r="HR32" s="119"/>
      <c r="HS32" s="119"/>
      <c r="HT32" s="119"/>
      <c r="HU32" s="119"/>
      <c r="HV32" s="119"/>
      <c r="HW32" s="119"/>
      <c r="HX32" s="119"/>
      <c r="HY32" s="119"/>
      <c r="HZ32" s="119"/>
      <c r="IA32" s="119"/>
      <c r="IB32" s="119"/>
      <c r="IC32" s="119"/>
      <c r="ID32" s="119"/>
      <c r="IE32" s="119"/>
      <c r="IF32" s="119"/>
      <c r="IG32" s="119"/>
      <c r="IH32" s="119"/>
      <c r="II32" s="119"/>
      <c r="IJ32" s="119"/>
      <c r="IK32" s="119"/>
      <c r="IL32" s="119"/>
      <c r="IM32" s="119"/>
      <c r="IN32" s="119"/>
      <c r="IO32" s="119"/>
      <c r="IP32" s="119"/>
      <c r="IQ32" s="119"/>
      <c r="IR32" s="119"/>
      <c r="IS32" s="119"/>
      <c r="IT32" s="119"/>
      <c r="IU32" s="119"/>
      <c r="IV32" s="119"/>
      <c r="IW32" s="119"/>
      <c r="IX32" s="119"/>
      <c r="IY32" s="119"/>
      <c r="IZ32" s="119"/>
      <c r="JA32" s="119"/>
      <c r="JB32" s="119"/>
      <c r="JC32" s="119"/>
      <c r="JD32" s="119"/>
      <c r="JE32" s="119"/>
      <c r="JF32" s="119"/>
      <c r="JG32" s="119"/>
      <c r="JH32" s="119"/>
      <c r="JI32" s="119"/>
      <c r="JJ32" s="119"/>
      <c r="JK32" s="119"/>
      <c r="JL32" s="119"/>
      <c r="JM32" s="119"/>
      <c r="JN32" s="119"/>
      <c r="JO32" s="119"/>
      <c r="JP32" s="119"/>
      <c r="JQ32" s="119"/>
      <c r="JR32" s="119"/>
      <c r="JS32" s="119"/>
      <c r="JT32" s="119"/>
      <c r="JU32" s="119"/>
      <c r="JV32" s="119"/>
      <c r="JW32" s="119"/>
      <c r="JX32" s="119"/>
      <c r="JY32" s="119"/>
      <c r="JZ32" s="119"/>
      <c r="KA32" s="119"/>
      <c r="KB32" s="119"/>
      <c r="KC32" s="119"/>
      <c r="KD32" s="119"/>
      <c r="KE32" s="119"/>
      <c r="KF32" s="119"/>
      <c r="KG32" s="119"/>
      <c r="KH32" s="119"/>
      <c r="KI32" s="119"/>
      <c r="KJ32" s="119"/>
      <c r="KK32" s="119"/>
      <c r="KL32" s="119"/>
      <c r="KM32" s="119"/>
      <c r="KN32" s="119"/>
      <c r="KO32" s="119"/>
      <c r="KP32" s="119"/>
      <c r="KQ32" s="119"/>
      <c r="KR32" s="119"/>
      <c r="KS32" s="119"/>
      <c r="KT32" s="119"/>
      <c r="KU32" s="119"/>
      <c r="KV32" s="119"/>
      <c r="KW32" s="119"/>
      <c r="KX32" s="119"/>
      <c r="KY32" s="119"/>
      <c r="KZ32" s="119"/>
      <c r="LA32" s="119"/>
      <c r="LB32" s="119"/>
      <c r="LC32" s="119"/>
      <c r="LD32" s="119"/>
      <c r="LE32" s="119"/>
      <c r="LF32" s="119"/>
      <c r="LG32" s="119"/>
      <c r="LH32" s="119"/>
      <c r="LI32" s="119"/>
      <c r="LJ32" s="119"/>
      <c r="LK32" s="119"/>
      <c r="LL32" s="119"/>
      <c r="LM32" s="119"/>
      <c r="LN32" s="119"/>
      <c r="LO32" s="119"/>
      <c r="LP32" s="119"/>
      <c r="LQ32" s="119"/>
      <c r="LR32" s="119"/>
      <c r="LS32" s="119"/>
      <c r="LT32" s="119"/>
      <c r="LU32" s="119"/>
      <c r="LV32" s="119"/>
      <c r="LW32" s="119"/>
      <c r="LX32" s="119"/>
      <c r="LY32" s="119"/>
      <c r="LZ32" s="119"/>
      <c r="MA32" s="119"/>
      <c r="MB32" s="119"/>
      <c r="MC32" s="119"/>
      <c r="MD32" s="119"/>
      <c r="ME32" s="119"/>
      <c r="MF32" s="119"/>
      <c r="MG32" s="119"/>
      <c r="MH32" s="119"/>
      <c r="MI32" s="119"/>
      <c r="MJ32" s="119"/>
      <c r="MK32" s="119"/>
      <c r="ML32" s="119"/>
      <c r="MM32" s="119"/>
      <c r="MN32" s="119"/>
      <c r="MO32" s="119"/>
      <c r="MP32" s="119"/>
      <c r="MQ32" s="119"/>
      <c r="MR32" s="119"/>
      <c r="MS32" s="119"/>
      <c r="MT32" s="119"/>
      <c r="MU32" s="119"/>
      <c r="MV32" s="119"/>
      <c r="MW32" s="119"/>
      <c r="MX32" s="119"/>
      <c r="MY32" s="119"/>
      <c r="MZ32" s="119"/>
      <c r="NA32" s="119"/>
      <c r="NB32" s="119"/>
      <c r="NC32" s="119"/>
      <c r="ND32" s="119"/>
      <c r="NE32" s="119"/>
      <c r="NF32" s="119"/>
      <c r="NG32" s="119"/>
      <c r="NH32" s="119"/>
      <c r="NI32" s="119"/>
      <c r="NJ32" s="119"/>
      <c r="NK32" s="119"/>
      <c r="NL32" s="119"/>
      <c r="NM32" s="119"/>
      <c r="NN32" s="119"/>
      <c r="NO32" s="119"/>
      <c r="NP32" s="119"/>
      <c r="NQ32" s="119"/>
      <c r="NR32" s="119"/>
      <c r="NS32" s="119"/>
      <c r="NT32" s="119"/>
      <c r="NU32" s="119"/>
      <c r="NV32" s="119"/>
      <c r="NW32" s="119"/>
      <c r="NX32" s="119"/>
      <c r="NY32" s="119"/>
      <c r="NZ32" s="119"/>
      <c r="OA32" s="119"/>
      <c r="OB32" s="119"/>
      <c r="OC32" s="119"/>
      <c r="OD32" s="119"/>
      <c r="OE32" s="119"/>
      <c r="OF32" s="119"/>
      <c r="OG32" s="119"/>
      <c r="OH32" s="119"/>
      <c r="OI32" s="119"/>
      <c r="OJ32" s="119"/>
      <c r="OK32" s="119"/>
      <c r="OL32" s="119"/>
      <c r="OM32" s="119"/>
      <c r="ON32" s="119"/>
      <c r="OO32" s="119"/>
      <c r="OP32" s="119"/>
      <c r="OQ32" s="119"/>
      <c r="OR32" s="119"/>
      <c r="OS32" s="119"/>
      <c r="OT32" s="119"/>
      <c r="OU32" s="119"/>
      <c r="OV32" s="119"/>
      <c r="OW32" s="119"/>
      <c r="OX32" s="119"/>
      <c r="OY32" s="119"/>
      <c r="OZ32" s="119"/>
      <c r="PA32" s="119"/>
      <c r="PB32" s="119"/>
      <c r="PC32" s="119"/>
      <c r="PD32" s="119"/>
      <c r="PE32" s="119"/>
      <c r="PF32" s="119"/>
      <c r="PG32" s="119"/>
      <c r="PH32" s="119"/>
      <c r="PI32" s="119"/>
      <c r="PJ32" s="119"/>
      <c r="PK32" s="119"/>
      <c r="PL32" s="119"/>
      <c r="PM32" s="119"/>
      <c r="PN32" s="119"/>
      <c r="PO32" s="119"/>
      <c r="PP32" s="119"/>
      <c r="PQ32" s="119"/>
      <c r="PR32" s="119"/>
      <c r="PS32" s="119"/>
      <c r="PT32" s="119"/>
      <c r="PU32" s="119"/>
      <c r="PV32" s="119"/>
      <c r="PW32" s="119"/>
      <c r="PX32" s="119"/>
      <c r="PY32" s="119"/>
      <c r="PZ32" s="119"/>
      <c r="QA32" s="119"/>
      <c r="QB32" s="119"/>
      <c r="QC32" s="119"/>
      <c r="QD32" s="119"/>
      <c r="QE32" s="119"/>
      <c r="QF32" s="119"/>
      <c r="QG32" s="119"/>
      <c r="QH32" s="119"/>
      <c r="QI32" s="119"/>
      <c r="QJ32" s="119"/>
      <c r="QK32" s="119"/>
      <c r="QL32" s="119"/>
      <c r="QM32" s="119"/>
      <c r="QN32" s="119"/>
      <c r="QO32" s="119"/>
      <c r="QP32" s="119"/>
      <c r="QQ32" s="119"/>
      <c r="QR32" s="119"/>
      <c r="QS32" s="119"/>
      <c r="QT32" s="119"/>
      <c r="QU32" s="119"/>
      <c r="QV32" s="119"/>
      <c r="QW32" s="119"/>
      <c r="QX32" s="119"/>
      <c r="QY32" s="119"/>
      <c r="QZ32" s="119"/>
      <c r="RA32" s="119"/>
      <c r="RB32" s="119"/>
      <c r="RC32" s="119"/>
      <c r="RD32" s="119"/>
      <c r="RE32" s="119"/>
      <c r="RF32" s="119"/>
      <c r="RG32" s="119"/>
      <c r="RH32" s="119"/>
      <c r="RI32" s="119"/>
      <c r="RJ32" s="119"/>
      <c r="RK32" s="119"/>
      <c r="RL32" s="119"/>
      <c r="RM32" s="119"/>
      <c r="RN32" s="119"/>
      <c r="RO32" s="119"/>
      <c r="RP32" s="119"/>
      <c r="RQ32" s="119"/>
      <c r="RR32" s="119"/>
      <c r="RS32" s="119"/>
      <c r="RT32" s="119"/>
      <c r="RU32" s="119"/>
      <c r="RV32" s="119"/>
      <c r="RW32" s="119"/>
      <c r="RX32" s="119"/>
      <c r="RY32" s="119"/>
      <c r="RZ32" s="119"/>
      <c r="SA32" s="119"/>
      <c r="SB32" s="119"/>
      <c r="SC32" s="119"/>
      <c r="SD32" s="119"/>
      <c r="SE32" s="119"/>
      <c r="SF32" s="119"/>
      <c r="SG32" s="119"/>
      <c r="SH32" s="119"/>
      <c r="SI32" s="119"/>
      <c r="SJ32" s="119"/>
      <c r="SK32" s="119"/>
      <c r="SL32" s="119"/>
      <c r="SM32" s="119"/>
      <c r="SN32" s="119"/>
      <c r="SO32" s="119"/>
      <c r="SP32" s="119"/>
      <c r="SQ32" s="119"/>
      <c r="SR32" s="119"/>
      <c r="SS32" s="119"/>
      <c r="ST32" s="119"/>
      <c r="SU32" s="119"/>
      <c r="SV32" s="119"/>
      <c r="SW32" s="119"/>
      <c r="SX32" s="119"/>
      <c r="SY32" s="119"/>
      <c r="SZ32" s="119"/>
      <c r="TA32" s="119"/>
      <c r="TB32" s="119"/>
      <c r="TC32" s="119"/>
      <c r="TD32" s="119"/>
      <c r="TE32" s="119"/>
      <c r="TF32" s="119"/>
      <c r="TG32" s="119"/>
      <c r="TH32" s="119"/>
      <c r="TI32" s="119"/>
      <c r="TJ32" s="119"/>
      <c r="TK32" s="119"/>
      <c r="TL32" s="119"/>
      <c r="TM32" s="119"/>
      <c r="TN32" s="119"/>
      <c r="TO32" s="119"/>
      <c r="TP32" s="119"/>
      <c r="TQ32" s="119"/>
      <c r="TR32" s="119"/>
      <c r="TS32" s="119"/>
      <c r="TT32" s="119"/>
      <c r="TU32" s="119"/>
      <c r="TV32" s="119"/>
      <c r="TW32" s="119"/>
      <c r="TX32" s="119"/>
      <c r="TY32" s="119"/>
      <c r="TZ32" s="119"/>
      <c r="UA32" s="119"/>
      <c r="UB32" s="119"/>
      <c r="UC32" s="119"/>
      <c r="UD32" s="119"/>
      <c r="UE32" s="119"/>
      <c r="UF32" s="119"/>
      <c r="UG32" s="119"/>
      <c r="UH32" s="119"/>
      <c r="UI32" s="119"/>
      <c r="UJ32" s="119"/>
      <c r="UK32" s="119"/>
      <c r="UL32" s="119"/>
      <c r="UM32" s="119"/>
      <c r="UN32" s="119"/>
      <c r="UO32" s="119"/>
      <c r="UP32" s="119"/>
      <c r="UQ32" s="119"/>
      <c r="UR32" s="119"/>
      <c r="US32" s="119"/>
      <c r="UT32" s="119"/>
      <c r="UU32" s="119"/>
      <c r="UV32" s="119"/>
      <c r="UW32" s="119"/>
      <c r="UX32" s="119"/>
      <c r="UY32" s="119"/>
      <c r="UZ32" s="119"/>
      <c r="VA32" s="119"/>
      <c r="VB32" s="119"/>
      <c r="VC32" s="119"/>
      <c r="VD32" s="119"/>
      <c r="VE32" s="119"/>
      <c r="VF32" s="119"/>
      <c r="VG32" s="119"/>
      <c r="VH32" s="119"/>
      <c r="VI32" s="119"/>
      <c r="VJ32" s="119"/>
      <c r="VK32" s="119"/>
      <c r="VL32" s="119"/>
      <c r="VM32" s="119"/>
      <c r="VN32" s="119"/>
      <c r="VO32" s="119"/>
      <c r="VP32" s="119"/>
      <c r="VQ32" s="119"/>
      <c r="VR32" s="119"/>
      <c r="VS32" s="119"/>
      <c r="VT32" s="119"/>
      <c r="VU32" s="119"/>
      <c r="VV32" s="119"/>
      <c r="VW32" s="119"/>
      <c r="VX32" s="119"/>
      <c r="VY32" s="119"/>
      <c r="VZ32" s="119"/>
      <c r="WA32" s="119"/>
      <c r="WB32" s="119"/>
      <c r="WC32" s="119"/>
      <c r="WD32" s="119"/>
      <c r="WE32" s="119"/>
      <c r="WF32" s="119"/>
      <c r="WG32" s="119"/>
      <c r="WH32" s="119"/>
      <c r="WI32" s="119"/>
      <c r="WJ32" s="119"/>
      <c r="WK32" s="119"/>
      <c r="WL32" s="119"/>
      <c r="WM32" s="119"/>
      <c r="WN32" s="119"/>
      <c r="WO32" s="119"/>
      <c r="WP32" s="119"/>
      <c r="WQ32" s="119"/>
      <c r="WR32" s="119"/>
      <c r="WS32" s="119"/>
      <c r="WT32" s="119"/>
      <c r="WU32" s="119"/>
      <c r="WV32" s="119"/>
      <c r="WW32" s="119"/>
      <c r="WX32" s="119"/>
      <c r="WY32" s="119"/>
      <c r="WZ32" s="119"/>
      <c r="XA32" s="119"/>
      <c r="XB32" s="119"/>
      <c r="XC32" s="119"/>
      <c r="XD32" s="119"/>
      <c r="XE32" s="119"/>
      <c r="XF32" s="119"/>
      <c r="XG32" s="119"/>
      <c r="XH32" s="119"/>
      <c r="XI32" s="119"/>
      <c r="XJ32" s="119"/>
      <c r="XK32" s="119"/>
      <c r="XL32" s="119"/>
      <c r="XM32" s="119"/>
      <c r="XN32" s="119"/>
      <c r="XO32" s="119"/>
      <c r="XP32" s="119"/>
      <c r="XQ32" s="119"/>
      <c r="XR32" s="119"/>
      <c r="XS32" s="119"/>
      <c r="XT32" s="119"/>
      <c r="XU32" s="119"/>
      <c r="XV32" s="119"/>
      <c r="XW32" s="119"/>
      <c r="XX32" s="119"/>
      <c r="XY32" s="119"/>
      <c r="XZ32" s="119"/>
      <c r="YA32" s="119"/>
      <c r="YB32" s="119"/>
      <c r="YC32" s="119"/>
      <c r="YD32" s="119"/>
      <c r="YE32" s="119"/>
      <c r="YF32" s="119"/>
      <c r="YG32" s="119"/>
      <c r="YH32" s="119"/>
      <c r="YI32" s="119"/>
      <c r="YJ32" s="119"/>
      <c r="YK32" s="119"/>
      <c r="YL32" s="119"/>
      <c r="YM32" s="119"/>
      <c r="YN32" s="119"/>
      <c r="YO32" s="119"/>
      <c r="YP32" s="119"/>
      <c r="YQ32" s="119"/>
      <c r="YR32" s="119"/>
      <c r="YS32" s="119"/>
      <c r="YT32" s="119"/>
      <c r="YU32" s="119"/>
      <c r="YV32" s="119"/>
      <c r="YW32" s="119"/>
      <c r="YX32" s="119"/>
      <c r="YY32" s="119"/>
      <c r="YZ32" s="119"/>
      <c r="ZA32" s="119"/>
      <c r="ZB32" s="119"/>
      <c r="ZC32" s="119"/>
      <c r="ZD32" s="119"/>
      <c r="ZE32" s="119"/>
      <c r="ZF32" s="119"/>
      <c r="ZG32" s="119"/>
      <c r="ZH32" s="119"/>
      <c r="ZI32" s="119"/>
      <c r="ZJ32" s="119"/>
      <c r="ZK32" s="119"/>
      <c r="ZL32" s="119"/>
      <c r="ZM32" s="119"/>
      <c r="ZN32" s="119"/>
      <c r="ZO32" s="119"/>
      <c r="ZP32" s="119"/>
      <c r="ZQ32" s="119"/>
      <c r="ZR32" s="119"/>
      <c r="ZS32" s="119"/>
      <c r="ZT32" s="119"/>
      <c r="ZU32" s="119"/>
      <c r="ZV32" s="119"/>
      <c r="ZW32" s="119"/>
      <c r="ZX32" s="119"/>
      <c r="ZY32" s="119"/>
      <c r="ZZ32" s="119"/>
      <c r="AAA32" s="119"/>
      <c r="AAB32" s="119"/>
      <c r="AAC32" s="119"/>
      <c r="AAD32" s="119"/>
      <c r="AAE32" s="119"/>
      <c r="AAF32" s="119"/>
      <c r="AAG32" s="119"/>
      <c r="AAH32" s="119"/>
      <c r="AAI32" s="119"/>
      <c r="AAJ32" s="119"/>
      <c r="AAK32" s="119"/>
      <c r="AAL32" s="119"/>
      <c r="AAM32" s="119"/>
      <c r="AAN32" s="119"/>
      <c r="AAO32" s="119"/>
      <c r="AAP32" s="119"/>
      <c r="AAQ32" s="119"/>
      <c r="AAR32" s="119"/>
      <c r="AAS32" s="119"/>
      <c r="AAT32" s="119"/>
      <c r="AAU32" s="119"/>
      <c r="AAV32" s="119"/>
      <c r="AAW32" s="119"/>
      <c r="AAX32" s="119"/>
      <c r="AAY32" s="119"/>
      <c r="AAZ32" s="119"/>
      <c r="ABA32" s="119"/>
      <c r="ABB32" s="119"/>
      <c r="ABC32" s="119"/>
      <c r="ABD32" s="119"/>
      <c r="ABE32" s="119"/>
      <c r="ABF32" s="119"/>
      <c r="ABG32" s="119"/>
      <c r="ABH32" s="119"/>
      <c r="ABI32" s="119"/>
      <c r="ABJ32" s="119"/>
      <c r="ABK32" s="119"/>
      <c r="ABL32" s="119"/>
      <c r="ABM32" s="119"/>
      <c r="ABN32" s="119"/>
      <c r="ABO32" s="119"/>
      <c r="ABP32" s="119"/>
      <c r="ABQ32" s="119"/>
      <c r="ABR32" s="119"/>
      <c r="ABS32" s="119"/>
      <c r="ABT32" s="119"/>
      <c r="ABU32" s="119"/>
      <c r="ABV32" s="119"/>
      <c r="ABW32" s="119"/>
      <c r="ABX32" s="119"/>
      <c r="ABY32" s="119"/>
      <c r="ABZ32" s="119"/>
      <c r="ACA32" s="119"/>
      <c r="ACB32" s="119"/>
      <c r="ACC32" s="119"/>
      <c r="ACD32" s="119"/>
      <c r="ACE32" s="119"/>
      <c r="ACF32" s="119"/>
      <c r="ACG32" s="119"/>
      <c r="ACH32" s="119"/>
      <c r="ACI32" s="119"/>
      <c r="ACJ32" s="119"/>
      <c r="ACK32" s="119"/>
      <c r="ACL32" s="119"/>
      <c r="ACM32" s="119"/>
      <c r="ACN32" s="119"/>
      <c r="ACO32" s="119"/>
      <c r="ACP32" s="119"/>
      <c r="ACQ32" s="119"/>
      <c r="ACR32" s="119"/>
      <c r="ACS32" s="119"/>
      <c r="ACT32" s="119"/>
      <c r="ACU32" s="119"/>
      <c r="ACV32" s="119"/>
      <c r="ACW32" s="119"/>
      <c r="ACX32" s="119"/>
      <c r="ACY32" s="119"/>
      <c r="ACZ32" s="119"/>
      <c r="ADA32" s="119"/>
      <c r="ADB32" s="119"/>
      <c r="ADC32" s="119"/>
      <c r="ADD32" s="119"/>
      <c r="ADE32" s="119"/>
      <c r="ADF32" s="119"/>
      <c r="ADG32" s="119"/>
      <c r="ADH32" s="119"/>
      <c r="ADI32" s="119"/>
      <c r="ADJ32" s="119"/>
      <c r="ADK32" s="119"/>
      <c r="ADL32" s="119"/>
      <c r="ADM32" s="119"/>
      <c r="ADN32" s="119"/>
      <c r="ADO32" s="119"/>
      <c r="ADP32" s="119"/>
      <c r="ADQ32" s="119"/>
      <c r="ADR32" s="119"/>
      <c r="ADS32" s="119"/>
      <c r="ADT32" s="119"/>
      <c r="ADU32" s="119"/>
      <c r="ADV32" s="119"/>
      <c r="ADW32" s="119"/>
      <c r="ADX32" s="119"/>
      <c r="ADY32" s="119"/>
      <c r="ADZ32" s="119"/>
      <c r="AEA32" s="119"/>
      <c r="AEB32" s="119"/>
      <c r="AEC32" s="119"/>
      <c r="AED32" s="119"/>
      <c r="AEE32" s="119"/>
      <c r="AEF32" s="119"/>
      <c r="AEG32" s="119"/>
      <c r="AEH32" s="119"/>
      <c r="AEI32" s="119"/>
      <c r="AEJ32" s="119"/>
      <c r="AEK32" s="119"/>
      <c r="AEL32" s="119"/>
      <c r="AEM32" s="119"/>
      <c r="AEN32" s="119"/>
      <c r="AEO32" s="119"/>
      <c r="AEP32" s="119"/>
      <c r="AEQ32" s="119"/>
      <c r="AER32" s="119"/>
      <c r="AES32" s="119"/>
      <c r="AET32" s="119"/>
      <c r="AEU32" s="119"/>
      <c r="AEV32" s="119"/>
      <c r="AEW32" s="119"/>
      <c r="AEX32" s="119"/>
      <c r="AEY32" s="119"/>
      <c r="AEZ32" s="119"/>
      <c r="AFA32" s="119"/>
      <c r="AFB32" s="119"/>
      <c r="AFC32" s="119"/>
      <c r="AFD32" s="119"/>
      <c r="AFE32" s="119"/>
      <c r="AFF32" s="119"/>
      <c r="AFG32" s="119"/>
      <c r="AFH32" s="119"/>
      <c r="AFI32" s="119"/>
      <c r="AFJ32" s="119"/>
      <c r="AFK32" s="119"/>
      <c r="AFL32" s="119"/>
      <c r="AFM32" s="119"/>
      <c r="AFN32" s="119"/>
      <c r="AFO32" s="119"/>
      <c r="AFP32" s="119"/>
      <c r="AFQ32" s="119"/>
      <c r="AFR32" s="119"/>
      <c r="AFS32" s="119"/>
      <c r="AFT32" s="119"/>
      <c r="AFU32" s="119"/>
      <c r="AFV32" s="119"/>
      <c r="AFW32" s="119"/>
      <c r="AFX32" s="119"/>
      <c r="AFY32" s="119"/>
      <c r="AFZ32" s="119"/>
      <c r="AGA32" s="119"/>
      <c r="AGB32" s="119"/>
      <c r="AGC32" s="119"/>
      <c r="AGD32" s="119"/>
      <c r="AGE32" s="119"/>
      <c r="AGF32" s="119"/>
      <c r="AGG32" s="119"/>
      <c r="AGH32" s="119"/>
      <c r="AGI32" s="119"/>
      <c r="AGJ32" s="119"/>
      <c r="AGK32" s="119"/>
      <c r="AGL32" s="119"/>
      <c r="AGM32" s="119"/>
      <c r="AGN32" s="119"/>
      <c r="AGO32" s="119"/>
      <c r="AGP32" s="119"/>
      <c r="AGQ32" s="119"/>
      <c r="AGR32" s="119"/>
      <c r="AGS32" s="119"/>
      <c r="AGT32" s="119"/>
      <c r="AGU32" s="119"/>
      <c r="AGV32" s="119"/>
      <c r="AGW32" s="119"/>
      <c r="AGX32" s="119"/>
      <c r="AGY32" s="119"/>
      <c r="AGZ32" s="119"/>
      <c r="AHA32" s="119"/>
      <c r="AHB32" s="119"/>
      <c r="AHC32" s="119"/>
      <c r="AHD32" s="119"/>
      <c r="AHE32" s="119"/>
      <c r="AHF32" s="119"/>
      <c r="AHG32" s="119"/>
      <c r="AHH32" s="119"/>
      <c r="AHI32" s="119"/>
      <c r="AHJ32" s="119"/>
      <c r="AHK32" s="119"/>
      <c r="AHL32" s="119"/>
      <c r="AHM32" s="119"/>
      <c r="AHN32" s="119"/>
      <c r="AHO32" s="119"/>
      <c r="AHP32" s="119"/>
      <c r="AHQ32" s="119"/>
      <c r="AHR32" s="119"/>
      <c r="AHS32" s="119"/>
      <c r="AHT32" s="119"/>
      <c r="AHU32" s="119"/>
      <c r="AHV32" s="119"/>
      <c r="AHW32" s="119"/>
      <c r="AHX32" s="119"/>
      <c r="AHY32" s="119"/>
      <c r="AHZ32" s="119"/>
      <c r="AIA32" s="119"/>
      <c r="AIB32" s="119"/>
      <c r="AIC32" s="119"/>
      <c r="AID32" s="119"/>
      <c r="AIE32" s="119"/>
      <c r="AIF32" s="119"/>
      <c r="AIG32" s="119"/>
      <c r="AIH32" s="119"/>
      <c r="AII32" s="119"/>
      <c r="AIJ32" s="119"/>
      <c r="AIK32" s="119"/>
      <c r="AIL32" s="119"/>
      <c r="AIM32" s="119"/>
      <c r="AIN32" s="119"/>
      <c r="AIO32" s="119"/>
      <c r="AIP32" s="119"/>
      <c r="AIQ32" s="119"/>
      <c r="AIR32" s="119"/>
      <c r="AIS32" s="119"/>
      <c r="AIT32" s="119"/>
      <c r="AIU32" s="119"/>
      <c r="AIV32" s="119"/>
      <c r="AIW32" s="119"/>
      <c r="AIX32" s="119"/>
      <c r="AIY32" s="119"/>
      <c r="AIZ32" s="119"/>
      <c r="AJA32" s="119"/>
      <c r="AJB32" s="119"/>
      <c r="AJC32" s="119"/>
      <c r="AJD32" s="119"/>
      <c r="AJE32" s="119"/>
      <c r="AJF32" s="119"/>
      <c r="AJG32" s="119"/>
      <c r="AJH32" s="119"/>
      <c r="AJI32" s="119"/>
      <c r="AJJ32" s="119"/>
      <c r="AJK32" s="119"/>
      <c r="AJL32" s="119"/>
      <c r="AJM32" s="119"/>
      <c r="AJN32" s="119"/>
      <c r="AJO32" s="119"/>
      <c r="AJP32" s="119"/>
      <c r="AJQ32" s="119"/>
      <c r="AJR32" s="119"/>
      <c r="AJS32" s="119"/>
      <c r="AJT32" s="119"/>
      <c r="AJU32" s="119"/>
      <c r="AJV32" s="119"/>
      <c r="AJW32" s="119"/>
      <c r="AJX32" s="119"/>
      <c r="AJY32" s="119"/>
      <c r="AJZ32" s="119"/>
      <c r="AKA32" s="119"/>
      <c r="AKB32" s="119"/>
      <c r="AKC32" s="119"/>
      <c r="AKD32" s="119"/>
      <c r="AKE32" s="119"/>
      <c r="AKF32" s="119"/>
      <c r="AKG32" s="119"/>
      <c r="AKH32" s="119"/>
      <c r="AKI32" s="119"/>
      <c r="AKJ32" s="119"/>
      <c r="AKK32" s="119"/>
      <c r="AKL32" s="119"/>
      <c r="AKM32" s="119"/>
      <c r="AKN32" s="119"/>
      <c r="AKO32" s="119"/>
      <c r="AKP32" s="119"/>
      <c r="AKQ32" s="119"/>
      <c r="AKR32" s="119"/>
      <c r="AKS32" s="119"/>
      <c r="AKT32" s="119"/>
      <c r="AKU32" s="119"/>
      <c r="AKV32" s="119"/>
      <c r="AKW32" s="119"/>
      <c r="AKX32" s="119"/>
      <c r="AKY32" s="119"/>
      <c r="AKZ32" s="119"/>
      <c r="ALA32" s="119"/>
      <c r="ALB32" s="119"/>
      <c r="ALC32" s="119"/>
      <c r="ALD32" s="119"/>
      <c r="ALE32" s="119"/>
      <c r="ALF32" s="119"/>
      <c r="ALG32" s="119"/>
      <c r="ALH32" s="119"/>
      <c r="ALI32" s="119"/>
      <c r="ALJ32" s="119"/>
      <c r="ALK32" s="119"/>
      <c r="ALL32" s="119"/>
      <c r="ALM32" s="119"/>
      <c r="ALN32" s="119"/>
      <c r="ALO32" s="119"/>
      <c r="ALP32" s="119"/>
      <c r="ALQ32" s="119"/>
      <c r="ALR32" s="119"/>
      <c r="ALS32" s="119"/>
    </row>
    <row r="33" spans="1:1007" ht="13.8">
      <c r="A33" s="412"/>
      <c r="B33" s="412"/>
      <c r="C33" s="412"/>
      <c r="D33" s="412"/>
      <c r="E33" s="412"/>
      <c r="F33" s="412"/>
      <c r="G33" s="412"/>
      <c r="H33" s="412"/>
      <c r="I33" s="412"/>
      <c r="J33" s="412"/>
      <c r="K33" s="412"/>
      <c r="L33" s="412"/>
      <c r="M33" s="412">
        <f>SUM(M5:M31)</f>
        <v>0</v>
      </c>
      <c r="N33" s="412"/>
      <c r="O33" s="412"/>
      <c r="P33" s="412">
        <f t="shared" ref="P33:P38" si="4">SUM(C33+D33+E33+F33+G33+H33+I33+J33+L33+M33+N33+O33)</f>
        <v>0</v>
      </c>
      <c r="Q33" s="412"/>
    </row>
    <row r="34" spans="1:1007" ht="14.4">
      <c r="A34" s="413" t="s">
        <v>142</v>
      </c>
      <c r="B34" s="241" t="s">
        <v>297</v>
      </c>
      <c r="C34" s="242">
        <v>352065.78</v>
      </c>
      <c r="D34" s="242">
        <v>309831.90999999997</v>
      </c>
      <c r="E34" s="243">
        <v>383934.24</v>
      </c>
      <c r="F34" s="243">
        <v>359436.47</v>
      </c>
      <c r="G34" s="243">
        <v>365598.99</v>
      </c>
      <c r="H34" s="243">
        <v>396552.64</v>
      </c>
      <c r="I34" s="243">
        <v>425969.96</v>
      </c>
      <c r="J34" s="243"/>
      <c r="K34" s="365">
        <v>440000</v>
      </c>
      <c r="L34" s="243"/>
      <c r="M34" s="243"/>
      <c r="N34" s="243"/>
      <c r="O34" s="243"/>
      <c r="P34" s="243">
        <f t="shared" si="4"/>
        <v>2593389.9899999998</v>
      </c>
      <c r="Q34" s="244">
        <f>P34/$P$42</f>
        <v>7.0884861857919979E-3</v>
      </c>
    </row>
    <row r="35" spans="1:1007" ht="14.4">
      <c r="A35" s="413"/>
      <c r="B35" s="245" t="s">
        <v>298</v>
      </c>
      <c r="C35" s="246">
        <v>5262949.97</v>
      </c>
      <c r="D35" s="246">
        <v>4513143.76</v>
      </c>
      <c r="E35" s="247">
        <v>5426144.9199999999</v>
      </c>
      <c r="F35" s="247">
        <v>4701968.9800000004</v>
      </c>
      <c r="G35" s="247">
        <v>4757746.12</v>
      </c>
      <c r="H35" s="247">
        <v>5009119.2300000004</v>
      </c>
      <c r="I35" s="248">
        <v>5583187.5899999999</v>
      </c>
      <c r="J35" s="248"/>
      <c r="K35" s="366">
        <v>5700000</v>
      </c>
      <c r="L35" s="248"/>
      <c r="M35" s="248"/>
      <c r="N35" s="248"/>
      <c r="O35" s="248"/>
      <c r="P35" s="248">
        <f t="shared" si="4"/>
        <v>35254260.570000008</v>
      </c>
      <c r="Q35" s="249">
        <f>P35/$P$42</f>
        <v>9.6360107814234527E-2</v>
      </c>
    </row>
    <row r="36" spans="1:1007" ht="14.4">
      <c r="A36" s="413"/>
      <c r="B36" s="241" t="s">
        <v>299</v>
      </c>
      <c r="C36" s="242">
        <v>9821108.2799999993</v>
      </c>
      <c r="D36" s="242">
        <v>9992069</v>
      </c>
      <c r="E36" s="243">
        <v>10218784.98</v>
      </c>
      <c r="F36" s="243">
        <v>10544056.58</v>
      </c>
      <c r="G36" s="243">
        <v>10857943.470000001</v>
      </c>
      <c r="H36" s="243">
        <v>11075008.52</v>
      </c>
      <c r="I36" s="243">
        <v>11308744.470000001</v>
      </c>
      <c r="J36" s="243">
        <v>11388930.619999999</v>
      </c>
      <c r="K36" s="365">
        <v>11388930.619999999</v>
      </c>
      <c r="L36" s="243"/>
      <c r="M36" s="243"/>
      <c r="N36" s="243"/>
      <c r="O36" s="243"/>
      <c r="P36" s="243">
        <f t="shared" si="4"/>
        <v>85206645.920000002</v>
      </c>
      <c r="Q36" s="244">
        <f>P36/$P$42</f>
        <v>0.23289444891456151</v>
      </c>
    </row>
    <row r="37" spans="1:1007" ht="14.4">
      <c r="A37" s="413"/>
      <c r="B37" s="341" t="s">
        <v>300</v>
      </c>
      <c r="C37" s="250"/>
      <c r="D37" s="246"/>
      <c r="E37" s="247"/>
      <c r="F37" s="247"/>
      <c r="G37" s="247"/>
      <c r="H37" s="247"/>
      <c r="I37" s="248"/>
      <c r="J37" s="248"/>
      <c r="K37" s="366"/>
      <c r="L37" s="248"/>
      <c r="M37" s="251"/>
      <c r="N37" s="251"/>
      <c r="O37" s="251"/>
      <c r="P37" s="251">
        <f t="shared" si="4"/>
        <v>0</v>
      </c>
      <c r="Q37" s="249">
        <f>P37/$P$42</f>
        <v>0</v>
      </c>
    </row>
    <row r="38" spans="1:1007" ht="14.4">
      <c r="A38" s="413"/>
      <c r="B38" s="245" t="s">
        <v>301</v>
      </c>
      <c r="C38" s="246"/>
      <c r="D38" s="246">
        <v>1752093.84</v>
      </c>
      <c r="E38" s="252"/>
      <c r="F38" s="247"/>
      <c r="G38" s="247">
        <v>2303650.65</v>
      </c>
      <c r="H38" s="247">
        <v>697494.55</v>
      </c>
      <c r="I38" s="248">
        <v>786593.01</v>
      </c>
      <c r="J38" s="248"/>
      <c r="K38" s="366"/>
      <c r="L38" s="248"/>
      <c r="M38" s="248"/>
      <c r="N38" s="248"/>
      <c r="O38" s="248"/>
      <c r="P38" s="248">
        <f t="shared" si="4"/>
        <v>5539832.0499999998</v>
      </c>
      <c r="Q38" s="244">
        <f>P38/$P$42</f>
        <v>1.5141965963257523E-2</v>
      </c>
    </row>
    <row r="39" spans="1:1007" ht="15.6">
      <c r="A39" s="413"/>
      <c r="B39" s="253" t="s">
        <v>148</v>
      </c>
      <c r="C39" s="254">
        <f t="shared" ref="C39:I39" si="5">SUM(C34:C38)</f>
        <v>15436124.029999999</v>
      </c>
      <c r="D39" s="254">
        <f t="shared" si="5"/>
        <v>16567138.51</v>
      </c>
      <c r="E39" s="254">
        <f t="shared" si="5"/>
        <v>16028864.140000001</v>
      </c>
      <c r="F39" s="254">
        <f t="shared" si="5"/>
        <v>15605462.030000001</v>
      </c>
      <c r="G39" s="254">
        <f t="shared" si="5"/>
        <v>18284939.23</v>
      </c>
      <c r="H39" s="254">
        <f t="shared" si="5"/>
        <v>17178174.940000001</v>
      </c>
      <c r="I39" s="254">
        <f t="shared" si="5"/>
        <v>18104495.030000001</v>
      </c>
      <c r="J39" s="254">
        <f t="shared" ref="J39:K39" si="6">SUM(J34:J38)</f>
        <v>11388930.619999999</v>
      </c>
      <c r="K39" s="254">
        <f t="shared" si="6"/>
        <v>17528930.619999997</v>
      </c>
      <c r="L39" s="254">
        <f t="shared" ref="L39:Q39" si="7">SUM(L34:L38)</f>
        <v>0</v>
      </c>
      <c r="M39" s="254">
        <f t="shared" si="7"/>
        <v>0</v>
      </c>
      <c r="N39" s="254">
        <f t="shared" si="7"/>
        <v>0</v>
      </c>
      <c r="O39" s="254">
        <f t="shared" si="7"/>
        <v>0</v>
      </c>
      <c r="P39" s="254">
        <f t="shared" si="7"/>
        <v>128594128.53000002</v>
      </c>
      <c r="Q39" s="255">
        <f t="shared" si="7"/>
        <v>0.35148500887784556</v>
      </c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  <c r="DS39" s="119"/>
      <c r="DT39" s="119"/>
      <c r="DU39" s="119"/>
      <c r="DV39" s="119"/>
      <c r="DW39" s="119"/>
      <c r="DX39" s="119"/>
      <c r="DY39" s="119"/>
      <c r="DZ39" s="119"/>
      <c r="EA39" s="119"/>
      <c r="EB39" s="119"/>
      <c r="EC39" s="119"/>
      <c r="ED39" s="119"/>
      <c r="EE39" s="119"/>
      <c r="EF39" s="119"/>
      <c r="EG39" s="119"/>
      <c r="EH39" s="119"/>
      <c r="EI39" s="119"/>
      <c r="EJ39" s="119"/>
      <c r="EK39" s="119"/>
      <c r="EL39" s="119"/>
      <c r="EM39" s="119"/>
      <c r="EN39" s="119"/>
      <c r="EO39" s="119"/>
      <c r="EP39" s="119"/>
      <c r="EQ39" s="119"/>
      <c r="ER39" s="119"/>
      <c r="ES39" s="119"/>
      <c r="ET39" s="119"/>
      <c r="EU39" s="119"/>
      <c r="EV39" s="119"/>
      <c r="EW39" s="119"/>
      <c r="EX39" s="119"/>
      <c r="EY39" s="119"/>
      <c r="EZ39" s="119"/>
      <c r="FA39" s="119"/>
      <c r="FB39" s="119"/>
      <c r="FC39" s="119"/>
      <c r="FD39" s="119"/>
      <c r="FE39" s="119"/>
      <c r="FF39" s="119"/>
      <c r="FG39" s="119"/>
      <c r="FH39" s="119"/>
      <c r="FI39" s="119"/>
      <c r="FJ39" s="119"/>
      <c r="FK39" s="119"/>
      <c r="FL39" s="119"/>
      <c r="FM39" s="119"/>
      <c r="FN39" s="119"/>
      <c r="FO39" s="119"/>
      <c r="FP39" s="119"/>
      <c r="FQ39" s="119"/>
      <c r="FR39" s="119"/>
      <c r="FS39" s="119"/>
      <c r="FT39" s="119"/>
      <c r="FU39" s="119"/>
      <c r="FV39" s="119"/>
      <c r="FW39" s="119"/>
      <c r="FX39" s="119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119"/>
      <c r="MY39" s="119"/>
      <c r="MZ39" s="119"/>
      <c r="NA39" s="119"/>
      <c r="NB39" s="119"/>
      <c r="NC39" s="119"/>
      <c r="ND39" s="119"/>
      <c r="NE39" s="119"/>
      <c r="NF39" s="119"/>
      <c r="NG39" s="119"/>
      <c r="NH39" s="119"/>
      <c r="NI39" s="119"/>
      <c r="NJ39" s="119"/>
      <c r="NK39" s="119"/>
      <c r="NL39" s="119"/>
      <c r="NM39" s="119"/>
      <c r="NN39" s="119"/>
      <c r="NO39" s="119"/>
      <c r="NP39" s="119"/>
      <c r="NQ39" s="119"/>
      <c r="NR39" s="119"/>
      <c r="NS39" s="119"/>
      <c r="NT39" s="119"/>
      <c r="NU39" s="119"/>
      <c r="NV39" s="119"/>
      <c r="NW39" s="119"/>
      <c r="NX39" s="119"/>
      <c r="NY39" s="119"/>
      <c r="NZ39" s="119"/>
      <c r="OA39" s="119"/>
      <c r="OB39" s="119"/>
      <c r="OC39" s="119"/>
      <c r="OD39" s="119"/>
      <c r="OE39" s="119"/>
      <c r="OF39" s="119"/>
      <c r="OG39" s="119"/>
      <c r="OH39" s="119"/>
      <c r="OI39" s="119"/>
      <c r="OJ39" s="119"/>
      <c r="OK39" s="119"/>
      <c r="OL39" s="119"/>
      <c r="OM39" s="119"/>
      <c r="ON39" s="119"/>
      <c r="OO39" s="119"/>
      <c r="OP39" s="119"/>
      <c r="OQ39" s="119"/>
      <c r="OR39" s="119"/>
      <c r="OS39" s="119"/>
      <c r="OT39" s="119"/>
      <c r="OU39" s="119"/>
      <c r="OV39" s="119"/>
      <c r="OW39" s="119"/>
      <c r="OX39" s="119"/>
      <c r="OY39" s="119"/>
      <c r="OZ39" s="119"/>
      <c r="PA39" s="119"/>
      <c r="PB39" s="119"/>
      <c r="PC39" s="119"/>
      <c r="PD39" s="119"/>
      <c r="PE39" s="119"/>
      <c r="PF39" s="119"/>
      <c r="PG39" s="119"/>
      <c r="PH39" s="119"/>
      <c r="PI39" s="119"/>
      <c r="PJ39" s="119"/>
      <c r="PK39" s="119"/>
      <c r="PL39" s="119"/>
      <c r="PM39" s="119"/>
      <c r="PN39" s="119"/>
      <c r="PO39" s="119"/>
      <c r="PP39" s="119"/>
      <c r="PQ39" s="119"/>
      <c r="PR39" s="119"/>
      <c r="PS39" s="119"/>
      <c r="PT39" s="119"/>
      <c r="PU39" s="119"/>
      <c r="PV39" s="119"/>
      <c r="PW39" s="119"/>
      <c r="PX39" s="119"/>
      <c r="PY39" s="119"/>
      <c r="PZ39" s="119"/>
      <c r="QA39" s="119"/>
      <c r="QB39" s="119"/>
      <c r="QC39" s="119"/>
      <c r="QD39" s="119"/>
      <c r="QE39" s="119"/>
      <c r="QF39" s="119"/>
      <c r="QG39" s="119"/>
      <c r="QH39" s="119"/>
      <c r="QI39" s="119"/>
      <c r="QJ39" s="119"/>
      <c r="QK39" s="119"/>
      <c r="QL39" s="119"/>
      <c r="QM39" s="119"/>
      <c r="QN39" s="119"/>
      <c r="QO39" s="119"/>
      <c r="QP39" s="119"/>
      <c r="QQ39" s="119"/>
      <c r="QR39" s="119"/>
      <c r="QS39" s="119"/>
      <c r="QT39" s="119"/>
      <c r="QU39" s="119"/>
      <c r="QV39" s="119"/>
      <c r="QW39" s="119"/>
      <c r="QX39" s="119"/>
      <c r="QY39" s="119"/>
      <c r="QZ39" s="119"/>
      <c r="RA39" s="119"/>
      <c r="RB39" s="119"/>
      <c r="RC39" s="119"/>
      <c r="RD39" s="119"/>
      <c r="RE39" s="119"/>
      <c r="RF39" s="119"/>
      <c r="RG39" s="119"/>
      <c r="RH39" s="119"/>
      <c r="RI39" s="119"/>
      <c r="RJ39" s="119"/>
      <c r="RK39" s="119"/>
      <c r="RL39" s="119"/>
      <c r="RM39" s="119"/>
      <c r="RN39" s="119"/>
      <c r="RO39" s="119"/>
      <c r="RP39" s="119"/>
      <c r="RQ39" s="119"/>
      <c r="RR39" s="119"/>
      <c r="RS39" s="119"/>
      <c r="RT39" s="119"/>
      <c r="RU39" s="119"/>
      <c r="RV39" s="119"/>
      <c r="RW39" s="119"/>
      <c r="RX39" s="119"/>
      <c r="RY39" s="119"/>
      <c r="RZ39" s="119"/>
      <c r="SA39" s="119"/>
      <c r="SB39" s="119"/>
      <c r="SC39" s="119"/>
      <c r="SD39" s="119"/>
      <c r="SE39" s="119"/>
      <c r="SF39" s="119"/>
      <c r="SG39" s="119"/>
      <c r="SH39" s="119"/>
      <c r="SI39" s="119"/>
      <c r="SJ39" s="119"/>
      <c r="SK39" s="119"/>
      <c r="SL39" s="119"/>
      <c r="SM39" s="119"/>
      <c r="SN39" s="119"/>
      <c r="SO39" s="119"/>
      <c r="SP39" s="119"/>
      <c r="SQ39" s="119"/>
      <c r="SR39" s="119"/>
      <c r="SS39" s="119"/>
      <c r="ST39" s="119"/>
      <c r="SU39" s="119"/>
      <c r="SV39" s="119"/>
      <c r="SW39" s="119"/>
      <c r="SX39" s="119"/>
      <c r="SY39" s="119"/>
      <c r="SZ39" s="119"/>
      <c r="TA39" s="119"/>
      <c r="TB39" s="119"/>
      <c r="TC39" s="119"/>
      <c r="TD39" s="119"/>
      <c r="TE39" s="119"/>
      <c r="TF39" s="119"/>
      <c r="TG39" s="119"/>
      <c r="TH39" s="119"/>
      <c r="TI39" s="119"/>
      <c r="TJ39" s="119"/>
      <c r="TK39" s="119"/>
      <c r="TL39" s="119"/>
      <c r="TM39" s="119"/>
      <c r="TN39" s="119"/>
      <c r="TO39" s="119"/>
      <c r="TP39" s="119"/>
      <c r="TQ39" s="119"/>
      <c r="TR39" s="119"/>
      <c r="TS39" s="119"/>
      <c r="TT39" s="119"/>
      <c r="TU39" s="119"/>
      <c r="TV39" s="119"/>
      <c r="TW39" s="119"/>
      <c r="TX39" s="119"/>
      <c r="TY39" s="119"/>
      <c r="TZ39" s="119"/>
      <c r="UA39" s="119"/>
      <c r="UB39" s="119"/>
      <c r="UC39" s="119"/>
      <c r="UD39" s="119"/>
      <c r="UE39" s="119"/>
      <c r="UF39" s="119"/>
      <c r="UG39" s="119"/>
      <c r="UH39" s="119"/>
      <c r="UI39" s="119"/>
      <c r="UJ39" s="119"/>
      <c r="UK39" s="119"/>
      <c r="UL39" s="119"/>
      <c r="UM39" s="119"/>
      <c r="UN39" s="119"/>
      <c r="UO39" s="119"/>
      <c r="UP39" s="119"/>
      <c r="UQ39" s="119"/>
      <c r="UR39" s="119"/>
      <c r="US39" s="119"/>
      <c r="UT39" s="119"/>
      <c r="UU39" s="119"/>
      <c r="UV39" s="119"/>
      <c r="UW39" s="119"/>
      <c r="UX39" s="119"/>
      <c r="UY39" s="119"/>
      <c r="UZ39" s="119"/>
      <c r="VA39" s="119"/>
      <c r="VB39" s="119"/>
      <c r="VC39" s="119"/>
      <c r="VD39" s="119"/>
      <c r="VE39" s="119"/>
      <c r="VF39" s="119"/>
      <c r="VG39" s="119"/>
      <c r="VH39" s="119"/>
      <c r="VI39" s="119"/>
      <c r="VJ39" s="119"/>
      <c r="VK39" s="119"/>
      <c r="VL39" s="119"/>
      <c r="VM39" s="119"/>
      <c r="VN39" s="119"/>
      <c r="VO39" s="119"/>
      <c r="VP39" s="119"/>
      <c r="VQ39" s="119"/>
      <c r="VR39" s="119"/>
      <c r="VS39" s="119"/>
      <c r="VT39" s="119"/>
      <c r="VU39" s="119"/>
      <c r="VV39" s="119"/>
      <c r="VW39" s="119"/>
      <c r="VX39" s="119"/>
      <c r="VY39" s="119"/>
      <c r="VZ39" s="119"/>
      <c r="WA39" s="119"/>
      <c r="WB39" s="119"/>
      <c r="WC39" s="119"/>
      <c r="WD39" s="119"/>
      <c r="WE39" s="119"/>
      <c r="WF39" s="119"/>
      <c r="WG39" s="119"/>
      <c r="WH39" s="119"/>
      <c r="WI39" s="119"/>
      <c r="WJ39" s="119"/>
      <c r="WK39" s="119"/>
      <c r="WL39" s="119"/>
      <c r="WM39" s="119"/>
      <c r="WN39" s="119"/>
      <c r="WO39" s="119"/>
      <c r="WP39" s="119"/>
      <c r="WQ39" s="119"/>
      <c r="WR39" s="119"/>
      <c r="WS39" s="119"/>
      <c r="WT39" s="119"/>
      <c r="WU39" s="119"/>
      <c r="WV39" s="119"/>
      <c r="WW39" s="119"/>
      <c r="WX39" s="119"/>
      <c r="WY39" s="119"/>
      <c r="WZ39" s="119"/>
      <c r="XA39" s="119"/>
      <c r="XB39" s="119"/>
      <c r="XC39" s="119"/>
      <c r="XD39" s="119"/>
      <c r="XE39" s="119"/>
      <c r="XF39" s="119"/>
      <c r="XG39" s="119"/>
      <c r="XH39" s="119"/>
      <c r="XI39" s="119"/>
      <c r="XJ39" s="119"/>
      <c r="XK39" s="119"/>
      <c r="XL39" s="119"/>
      <c r="XM39" s="119"/>
      <c r="XN39" s="119"/>
      <c r="XO39" s="119"/>
      <c r="XP39" s="119"/>
      <c r="XQ39" s="119"/>
      <c r="XR39" s="119"/>
      <c r="XS39" s="119"/>
      <c r="XT39" s="119"/>
      <c r="XU39" s="119"/>
      <c r="XV39" s="119"/>
      <c r="XW39" s="119"/>
      <c r="XX39" s="119"/>
      <c r="XY39" s="119"/>
      <c r="XZ39" s="119"/>
      <c r="YA39" s="119"/>
      <c r="YB39" s="119"/>
      <c r="YC39" s="119"/>
      <c r="YD39" s="119"/>
      <c r="YE39" s="119"/>
      <c r="YF39" s="119"/>
      <c r="YG39" s="119"/>
      <c r="YH39" s="119"/>
      <c r="YI39" s="119"/>
      <c r="YJ39" s="119"/>
      <c r="YK39" s="119"/>
      <c r="YL39" s="119"/>
      <c r="YM39" s="119"/>
      <c r="YN39" s="119"/>
      <c r="YO39" s="119"/>
      <c r="YP39" s="119"/>
      <c r="YQ39" s="119"/>
      <c r="YR39" s="119"/>
      <c r="YS39" s="119"/>
      <c r="YT39" s="119"/>
      <c r="YU39" s="119"/>
      <c r="YV39" s="119"/>
      <c r="YW39" s="119"/>
      <c r="YX39" s="119"/>
      <c r="YY39" s="119"/>
      <c r="YZ39" s="119"/>
      <c r="ZA39" s="119"/>
      <c r="ZB39" s="119"/>
      <c r="ZC39" s="119"/>
      <c r="ZD39" s="119"/>
      <c r="ZE39" s="119"/>
      <c r="ZF39" s="119"/>
      <c r="ZG39" s="119"/>
      <c r="ZH39" s="119"/>
      <c r="ZI39" s="119"/>
      <c r="ZJ39" s="119"/>
      <c r="ZK39" s="119"/>
      <c r="ZL39" s="119"/>
      <c r="ZM39" s="119"/>
      <c r="ZN39" s="119"/>
      <c r="ZO39" s="119"/>
      <c r="ZP39" s="119"/>
      <c r="ZQ39" s="119"/>
      <c r="ZR39" s="119"/>
      <c r="ZS39" s="119"/>
      <c r="ZT39" s="119"/>
      <c r="ZU39" s="119"/>
      <c r="ZV39" s="119"/>
      <c r="ZW39" s="119"/>
      <c r="ZX39" s="119"/>
      <c r="ZY39" s="119"/>
      <c r="ZZ39" s="119"/>
      <c r="AAA39" s="119"/>
      <c r="AAB39" s="119"/>
      <c r="AAC39" s="119"/>
      <c r="AAD39" s="119"/>
      <c r="AAE39" s="119"/>
      <c r="AAF39" s="119"/>
      <c r="AAG39" s="119"/>
      <c r="AAH39" s="119"/>
      <c r="AAI39" s="119"/>
      <c r="AAJ39" s="119"/>
      <c r="AAK39" s="119"/>
      <c r="AAL39" s="119"/>
      <c r="AAM39" s="119"/>
      <c r="AAN39" s="119"/>
      <c r="AAO39" s="119"/>
      <c r="AAP39" s="119"/>
      <c r="AAQ39" s="119"/>
      <c r="AAR39" s="119"/>
      <c r="AAS39" s="119"/>
      <c r="AAT39" s="119"/>
      <c r="AAU39" s="119"/>
      <c r="AAV39" s="119"/>
      <c r="AAW39" s="119"/>
      <c r="AAX39" s="119"/>
      <c r="AAY39" s="119"/>
      <c r="AAZ39" s="119"/>
      <c r="ABA39" s="119"/>
      <c r="ABB39" s="119"/>
      <c r="ABC39" s="119"/>
      <c r="ABD39" s="119"/>
      <c r="ABE39" s="119"/>
      <c r="ABF39" s="119"/>
      <c r="ABG39" s="119"/>
      <c r="ABH39" s="119"/>
      <c r="ABI39" s="119"/>
      <c r="ABJ39" s="119"/>
      <c r="ABK39" s="119"/>
      <c r="ABL39" s="119"/>
      <c r="ABM39" s="119"/>
      <c r="ABN39" s="119"/>
      <c r="ABO39" s="119"/>
      <c r="ABP39" s="119"/>
      <c r="ABQ39" s="119"/>
      <c r="ABR39" s="119"/>
      <c r="ABS39" s="119"/>
      <c r="ABT39" s="119"/>
      <c r="ABU39" s="119"/>
      <c r="ABV39" s="119"/>
      <c r="ABW39" s="119"/>
      <c r="ABX39" s="119"/>
      <c r="ABY39" s="119"/>
      <c r="ABZ39" s="119"/>
      <c r="ACA39" s="119"/>
      <c r="ACB39" s="119"/>
      <c r="ACC39" s="119"/>
      <c r="ACD39" s="119"/>
      <c r="ACE39" s="119"/>
      <c r="ACF39" s="119"/>
      <c r="ACG39" s="119"/>
      <c r="ACH39" s="119"/>
      <c r="ACI39" s="119"/>
      <c r="ACJ39" s="119"/>
      <c r="ACK39" s="119"/>
      <c r="ACL39" s="119"/>
      <c r="ACM39" s="119"/>
      <c r="ACN39" s="119"/>
      <c r="ACO39" s="119"/>
      <c r="ACP39" s="119"/>
      <c r="ACQ39" s="119"/>
      <c r="ACR39" s="119"/>
      <c r="ACS39" s="119"/>
      <c r="ACT39" s="119"/>
      <c r="ACU39" s="119"/>
      <c r="ACV39" s="119"/>
      <c r="ACW39" s="119"/>
      <c r="ACX39" s="119"/>
      <c r="ACY39" s="119"/>
      <c r="ACZ39" s="119"/>
      <c r="ADA39" s="119"/>
      <c r="ADB39" s="119"/>
      <c r="ADC39" s="119"/>
      <c r="ADD39" s="119"/>
      <c r="ADE39" s="119"/>
      <c r="ADF39" s="119"/>
      <c r="ADG39" s="119"/>
      <c r="ADH39" s="119"/>
      <c r="ADI39" s="119"/>
      <c r="ADJ39" s="119"/>
      <c r="ADK39" s="119"/>
      <c r="ADL39" s="119"/>
      <c r="ADM39" s="119"/>
      <c r="ADN39" s="119"/>
      <c r="ADO39" s="119"/>
      <c r="ADP39" s="119"/>
      <c r="ADQ39" s="119"/>
      <c r="ADR39" s="119"/>
      <c r="ADS39" s="119"/>
      <c r="ADT39" s="119"/>
      <c r="ADU39" s="119"/>
      <c r="ADV39" s="119"/>
      <c r="ADW39" s="119"/>
      <c r="ADX39" s="119"/>
      <c r="ADY39" s="119"/>
      <c r="ADZ39" s="119"/>
      <c r="AEA39" s="119"/>
      <c r="AEB39" s="119"/>
      <c r="AEC39" s="119"/>
      <c r="AED39" s="119"/>
      <c r="AEE39" s="119"/>
      <c r="AEF39" s="119"/>
      <c r="AEG39" s="119"/>
      <c r="AEH39" s="119"/>
      <c r="AEI39" s="119"/>
      <c r="AEJ39" s="119"/>
      <c r="AEK39" s="119"/>
      <c r="AEL39" s="119"/>
      <c r="AEM39" s="119"/>
      <c r="AEN39" s="119"/>
      <c r="AEO39" s="119"/>
      <c r="AEP39" s="119"/>
      <c r="AEQ39" s="119"/>
      <c r="AER39" s="119"/>
      <c r="AES39" s="119"/>
      <c r="AET39" s="119"/>
      <c r="AEU39" s="119"/>
      <c r="AEV39" s="119"/>
      <c r="AEW39" s="119"/>
      <c r="AEX39" s="119"/>
      <c r="AEY39" s="119"/>
      <c r="AEZ39" s="119"/>
      <c r="AFA39" s="119"/>
      <c r="AFB39" s="119"/>
      <c r="AFC39" s="119"/>
      <c r="AFD39" s="119"/>
      <c r="AFE39" s="119"/>
      <c r="AFF39" s="119"/>
      <c r="AFG39" s="119"/>
      <c r="AFH39" s="119"/>
      <c r="AFI39" s="119"/>
      <c r="AFJ39" s="119"/>
      <c r="AFK39" s="119"/>
      <c r="AFL39" s="119"/>
      <c r="AFM39" s="119"/>
      <c r="AFN39" s="119"/>
      <c r="AFO39" s="119"/>
      <c r="AFP39" s="119"/>
      <c r="AFQ39" s="119"/>
      <c r="AFR39" s="119"/>
      <c r="AFS39" s="119"/>
      <c r="AFT39" s="119"/>
      <c r="AFU39" s="119"/>
      <c r="AFV39" s="119"/>
      <c r="AFW39" s="119"/>
      <c r="AFX39" s="119"/>
      <c r="AFY39" s="119"/>
      <c r="AFZ39" s="119"/>
      <c r="AGA39" s="119"/>
      <c r="AGB39" s="119"/>
      <c r="AGC39" s="119"/>
      <c r="AGD39" s="119"/>
      <c r="AGE39" s="119"/>
      <c r="AGF39" s="119"/>
      <c r="AGG39" s="119"/>
      <c r="AGH39" s="119"/>
      <c r="AGI39" s="119"/>
      <c r="AGJ39" s="119"/>
      <c r="AGK39" s="119"/>
      <c r="AGL39" s="119"/>
      <c r="AGM39" s="119"/>
      <c r="AGN39" s="119"/>
      <c r="AGO39" s="119"/>
      <c r="AGP39" s="119"/>
      <c r="AGQ39" s="119"/>
      <c r="AGR39" s="119"/>
      <c r="AGS39" s="119"/>
      <c r="AGT39" s="119"/>
      <c r="AGU39" s="119"/>
      <c r="AGV39" s="119"/>
      <c r="AGW39" s="119"/>
      <c r="AGX39" s="119"/>
      <c r="AGY39" s="119"/>
      <c r="AGZ39" s="119"/>
      <c r="AHA39" s="119"/>
      <c r="AHB39" s="119"/>
      <c r="AHC39" s="119"/>
      <c r="AHD39" s="119"/>
      <c r="AHE39" s="119"/>
      <c r="AHF39" s="119"/>
      <c r="AHG39" s="119"/>
      <c r="AHH39" s="119"/>
      <c r="AHI39" s="119"/>
      <c r="AHJ39" s="119"/>
      <c r="AHK39" s="119"/>
      <c r="AHL39" s="119"/>
      <c r="AHM39" s="119"/>
      <c r="AHN39" s="119"/>
      <c r="AHO39" s="119"/>
      <c r="AHP39" s="119"/>
      <c r="AHQ39" s="119"/>
      <c r="AHR39" s="119"/>
      <c r="AHS39" s="119"/>
      <c r="AHT39" s="119"/>
      <c r="AHU39" s="119"/>
      <c r="AHV39" s="119"/>
      <c r="AHW39" s="119"/>
      <c r="AHX39" s="119"/>
      <c r="AHY39" s="119"/>
      <c r="AHZ39" s="119"/>
      <c r="AIA39" s="119"/>
      <c r="AIB39" s="119"/>
      <c r="AIC39" s="119"/>
      <c r="AID39" s="119"/>
      <c r="AIE39" s="119"/>
      <c r="AIF39" s="119"/>
      <c r="AIG39" s="119"/>
      <c r="AIH39" s="119"/>
      <c r="AII39" s="119"/>
      <c r="AIJ39" s="119"/>
      <c r="AIK39" s="119"/>
      <c r="AIL39" s="119"/>
      <c r="AIM39" s="119"/>
      <c r="AIN39" s="119"/>
      <c r="AIO39" s="119"/>
      <c r="AIP39" s="119"/>
      <c r="AIQ39" s="119"/>
      <c r="AIR39" s="119"/>
      <c r="AIS39" s="119"/>
      <c r="AIT39" s="119"/>
      <c r="AIU39" s="119"/>
      <c r="AIV39" s="119"/>
      <c r="AIW39" s="119"/>
      <c r="AIX39" s="119"/>
      <c r="AIY39" s="119"/>
      <c r="AIZ39" s="119"/>
      <c r="AJA39" s="119"/>
      <c r="AJB39" s="119"/>
      <c r="AJC39" s="119"/>
      <c r="AJD39" s="119"/>
      <c r="AJE39" s="119"/>
      <c r="AJF39" s="119"/>
      <c r="AJG39" s="119"/>
      <c r="AJH39" s="119"/>
      <c r="AJI39" s="119"/>
      <c r="AJJ39" s="119"/>
      <c r="AJK39" s="119"/>
      <c r="AJL39" s="119"/>
      <c r="AJM39" s="119"/>
      <c r="AJN39" s="119"/>
      <c r="AJO39" s="119"/>
      <c r="AJP39" s="119"/>
      <c r="AJQ39" s="119"/>
      <c r="AJR39" s="119"/>
      <c r="AJS39" s="119"/>
      <c r="AJT39" s="119"/>
      <c r="AJU39" s="119"/>
      <c r="AJV39" s="119"/>
      <c r="AJW39" s="119"/>
      <c r="AJX39" s="119"/>
      <c r="AJY39" s="119"/>
      <c r="AJZ39" s="119"/>
      <c r="AKA39" s="119"/>
      <c r="AKB39" s="119"/>
      <c r="AKC39" s="119"/>
      <c r="AKD39" s="119"/>
      <c r="AKE39" s="119"/>
      <c r="AKF39" s="119"/>
      <c r="AKG39" s="119"/>
      <c r="AKH39" s="119"/>
      <c r="AKI39" s="119"/>
      <c r="AKJ39" s="119"/>
      <c r="AKK39" s="119"/>
      <c r="AKL39" s="119"/>
      <c r="AKM39" s="119"/>
      <c r="AKN39" s="119"/>
      <c r="AKO39" s="119"/>
      <c r="AKP39" s="119"/>
      <c r="AKQ39" s="119"/>
      <c r="AKR39" s="119"/>
      <c r="AKS39" s="119"/>
      <c r="AKT39" s="119"/>
      <c r="AKU39" s="119"/>
      <c r="AKV39" s="119"/>
      <c r="AKW39" s="119"/>
      <c r="AKX39" s="119"/>
      <c r="AKY39" s="119"/>
      <c r="AKZ39" s="119"/>
      <c r="ALA39" s="119"/>
      <c r="ALB39" s="119"/>
      <c r="ALC39" s="119"/>
      <c r="ALD39" s="119"/>
      <c r="ALE39" s="119"/>
      <c r="ALF39" s="119"/>
      <c r="ALG39" s="119"/>
      <c r="ALH39" s="119"/>
      <c r="ALI39" s="119"/>
      <c r="ALJ39" s="119"/>
      <c r="ALK39" s="119"/>
      <c r="ALL39" s="119"/>
      <c r="ALM39" s="119"/>
      <c r="ALN39" s="119"/>
      <c r="ALO39" s="119"/>
      <c r="ALP39" s="119"/>
      <c r="ALQ39" s="119"/>
      <c r="ALR39" s="119"/>
      <c r="ALS39" s="119"/>
    </row>
    <row r="40" spans="1:1007" ht="14.4">
      <c r="C40" s="3"/>
      <c r="D40" s="3"/>
      <c r="P40" s="256">
        <f>SUM(C40+D40+E40+F40+G40+H40+I40+J40+L40+M40+N40+O40)</f>
        <v>0</v>
      </c>
      <c r="Q40" s="13"/>
    </row>
    <row r="41" spans="1:1007" ht="17.399999999999999">
      <c r="B41" s="407" t="s">
        <v>302</v>
      </c>
      <c r="C41" s="407"/>
      <c r="D41" s="407"/>
      <c r="E41" s="407"/>
      <c r="F41" s="407"/>
      <c r="G41" s="407"/>
      <c r="H41" s="407"/>
      <c r="I41" s="407"/>
      <c r="J41" s="407"/>
      <c r="K41" s="407"/>
      <c r="L41" s="407"/>
      <c r="M41" s="407"/>
      <c r="N41" s="407"/>
      <c r="O41" s="407"/>
      <c r="P41" s="407">
        <f>SUM(C41+D41+E41+F41+G41+H41+I41+J41+L41+M41+N41+O41)</f>
        <v>0</v>
      </c>
      <c r="Q41" s="407"/>
    </row>
    <row r="42" spans="1:1007" ht="17.399999999999999">
      <c r="B42" s="257" t="s">
        <v>150</v>
      </c>
      <c r="C42" s="258">
        <f t="shared" ref="C42:Q42" si="8">C32+C39</f>
        <v>38821813.519999996</v>
      </c>
      <c r="D42" s="258">
        <f t="shared" si="8"/>
        <v>41000193.539999999</v>
      </c>
      <c r="E42" s="258">
        <f t="shared" si="8"/>
        <v>45117511.469999999</v>
      </c>
      <c r="F42" s="258">
        <f t="shared" si="8"/>
        <v>42825427.640000001</v>
      </c>
      <c r="G42" s="258">
        <f t="shared" si="8"/>
        <v>48766033.319999993</v>
      </c>
      <c r="H42" s="258">
        <f t="shared" si="8"/>
        <v>54191795.069999993</v>
      </c>
      <c r="I42" s="258">
        <f t="shared" si="8"/>
        <v>49187967.900000006</v>
      </c>
      <c r="J42" s="258">
        <f t="shared" si="8"/>
        <v>45948754.479999997</v>
      </c>
      <c r="K42" s="258">
        <f t="shared" si="8"/>
        <v>49623117.269999996</v>
      </c>
      <c r="L42" s="258">
        <f t="shared" si="8"/>
        <v>0</v>
      </c>
      <c r="M42" s="258">
        <f t="shared" si="8"/>
        <v>0</v>
      </c>
      <c r="N42" s="258">
        <f t="shared" si="8"/>
        <v>0</v>
      </c>
      <c r="O42" s="258">
        <f t="shared" si="8"/>
        <v>0</v>
      </c>
      <c r="P42" s="258">
        <f t="shared" si="8"/>
        <v>365859496.94</v>
      </c>
      <c r="Q42" s="259">
        <f t="shared" si="8"/>
        <v>0.98681303740820692</v>
      </c>
    </row>
    <row r="43" spans="1:1007" ht="13.8"/>
    <row r="44" spans="1:1007" ht="13.8"/>
    <row r="45" spans="1:1007" ht="13.8">
      <c r="B45" s="408" t="s">
        <v>303</v>
      </c>
      <c r="C45" s="408"/>
      <c r="D45" s="408"/>
      <c r="F45" s="260"/>
      <c r="G45" s="260"/>
      <c r="H45" s="260"/>
      <c r="I45" s="261"/>
      <c r="J45" s="261"/>
      <c r="L45" s="261"/>
      <c r="M45" s="261"/>
      <c r="N45" s="261"/>
      <c r="O45" s="261"/>
      <c r="P45" s="260"/>
    </row>
    <row r="46" spans="1:1007" ht="13.8">
      <c r="A46" s="2">
        <v>8</v>
      </c>
      <c r="F46" s="260"/>
      <c r="G46" s="260"/>
      <c r="H46" s="260"/>
      <c r="I46" s="261"/>
      <c r="J46" s="261"/>
      <c r="L46" s="261"/>
      <c r="M46" s="261"/>
      <c r="N46" s="261"/>
      <c r="O46" s="261"/>
      <c r="P46" s="260"/>
    </row>
    <row r="47" spans="1:1007" ht="31.2">
      <c r="B47" s="262" t="s">
        <v>159</v>
      </c>
      <c r="C47" s="262" t="s">
        <v>170</v>
      </c>
      <c r="D47" s="262" t="s">
        <v>171</v>
      </c>
      <c r="F47" s="263"/>
      <c r="G47" s="343"/>
      <c r="H47" s="343"/>
      <c r="I47" s="339"/>
      <c r="J47" s="261"/>
      <c r="L47" s="261"/>
      <c r="M47" s="261"/>
      <c r="N47" s="261"/>
      <c r="O47" s="261"/>
      <c r="P47" s="260"/>
    </row>
    <row r="48" spans="1:1007" ht="14.4">
      <c r="B48" s="265" t="s">
        <v>3</v>
      </c>
      <c r="C48" s="266">
        <f>SUM(P5:P7)</f>
        <v>136854156.59999999</v>
      </c>
      <c r="D48" s="267">
        <f>C48/C52</f>
        <v>0.37406205864445197</v>
      </c>
      <c r="F48" s="263"/>
      <c r="G48" s="344"/>
      <c r="H48" s="344"/>
      <c r="I48" s="345"/>
      <c r="J48" s="261"/>
      <c r="L48" s="261"/>
      <c r="M48" s="261"/>
      <c r="N48" s="261"/>
      <c r="O48" s="261"/>
      <c r="P48" s="260"/>
    </row>
    <row r="49" spans="2:16" ht="14.4">
      <c r="B49" s="269" t="s">
        <v>163</v>
      </c>
      <c r="C49" s="270">
        <f>SUM(P8+P9)</f>
        <v>64303527.030000009</v>
      </c>
      <c r="D49" s="271">
        <f>C49/C52</f>
        <v>0.17576016904802558</v>
      </c>
      <c r="F49" s="264"/>
      <c r="G49" s="344"/>
      <c r="H49" s="344"/>
      <c r="I49" s="345"/>
      <c r="J49" s="261"/>
      <c r="L49" s="261"/>
      <c r="M49" s="261"/>
      <c r="N49" s="261"/>
      <c r="O49" s="261"/>
      <c r="P49" s="260"/>
    </row>
    <row r="50" spans="2:16" ht="14.4">
      <c r="B50" s="265" t="s">
        <v>172</v>
      </c>
      <c r="C50" s="266">
        <f>P39</f>
        <v>128594128.53000002</v>
      </c>
      <c r="D50" s="271">
        <f>C50/C52</f>
        <v>0.35148500887784551</v>
      </c>
      <c r="F50" s="264"/>
      <c r="G50" s="272" t="s">
        <v>304</v>
      </c>
      <c r="H50" s="348"/>
      <c r="I50" s="345"/>
      <c r="J50" s="261"/>
      <c r="L50" s="261"/>
      <c r="M50" s="261"/>
      <c r="N50" s="261"/>
      <c r="O50" s="261"/>
      <c r="P50" s="260"/>
    </row>
    <row r="51" spans="2:16" ht="14.4">
      <c r="B51" s="269" t="s">
        <v>164</v>
      </c>
      <c r="C51" s="270">
        <f>SUM(P10:P31)</f>
        <v>36107684.780000001</v>
      </c>
      <c r="D51" s="271">
        <f>C51/C52</f>
        <v>9.8692763429676839E-2</v>
      </c>
      <c r="F51" s="264"/>
      <c r="G51" s="268">
        <v>38101055.479999997</v>
      </c>
      <c r="H51" s="272" t="s">
        <v>50</v>
      </c>
      <c r="I51" s="346"/>
      <c r="J51" s="261"/>
      <c r="L51" s="261"/>
      <c r="M51" s="261"/>
      <c r="N51" s="261"/>
      <c r="O51" s="261"/>
      <c r="P51" s="260"/>
    </row>
    <row r="52" spans="2:16" ht="15.6">
      <c r="B52" s="274" t="s">
        <v>12</v>
      </c>
      <c r="C52" s="275">
        <f>SUM(C48:C51)</f>
        <v>365859496.94000006</v>
      </c>
      <c r="D52" s="276">
        <f>SUM(D48:D51)</f>
        <v>0.99999999999999989</v>
      </c>
      <c r="F52" s="264"/>
      <c r="G52" s="268">
        <v>823927.65</v>
      </c>
      <c r="H52" s="273" t="s">
        <v>305</v>
      </c>
      <c r="I52" s="345"/>
      <c r="J52" s="261"/>
      <c r="L52" s="261"/>
      <c r="M52" s="261"/>
      <c r="N52" s="261"/>
      <c r="O52" s="261"/>
      <c r="P52" s="260"/>
    </row>
    <row r="53" spans="2:16" ht="13.8">
      <c r="F53" s="277"/>
      <c r="G53" s="268">
        <v>658515.65</v>
      </c>
      <c r="H53" s="349" t="s">
        <v>306</v>
      </c>
      <c r="I53" s="345"/>
      <c r="J53" s="261"/>
      <c r="L53" s="261"/>
      <c r="M53" s="261"/>
      <c r="N53" s="261"/>
      <c r="O53" s="261"/>
      <c r="P53" s="260"/>
    </row>
    <row r="54" spans="2:16" ht="13.8">
      <c r="F54" s="277"/>
      <c r="G54" s="351">
        <f>SUM(G51:G53)</f>
        <v>39583498.779999994</v>
      </c>
      <c r="H54" s="352" t="s">
        <v>12</v>
      </c>
      <c r="I54" s="345"/>
      <c r="J54" s="261"/>
      <c r="L54" s="261"/>
      <c r="M54" s="261"/>
      <c r="N54" s="261"/>
      <c r="O54" s="261"/>
      <c r="P54" s="260"/>
    </row>
    <row r="55" spans="2:16" ht="13.8">
      <c r="F55" s="277"/>
      <c r="G55" s="344"/>
      <c r="H55" s="344"/>
      <c r="I55" s="345"/>
      <c r="J55" s="261"/>
      <c r="L55" s="261"/>
      <c r="M55" s="261"/>
      <c r="N55" s="261"/>
      <c r="O55" s="261"/>
      <c r="P55" s="260"/>
    </row>
    <row r="56" spans="2:16" ht="13.8">
      <c r="F56" s="264"/>
      <c r="G56" s="347" t="s">
        <v>307</v>
      </c>
      <c r="H56" s="344"/>
      <c r="I56" s="345"/>
      <c r="J56" s="261"/>
      <c r="L56" s="261"/>
      <c r="M56" s="261"/>
      <c r="N56" s="261"/>
      <c r="O56" s="261"/>
      <c r="P56" s="260"/>
    </row>
    <row r="57" spans="2:16" ht="13.8">
      <c r="F57" s="278"/>
      <c r="G57" s="268">
        <f>J42</f>
        <v>45948754.479999997</v>
      </c>
      <c r="H57" s="268" t="s">
        <v>50</v>
      </c>
      <c r="I57" s="345"/>
      <c r="J57" s="261"/>
      <c r="L57" s="261"/>
      <c r="M57" s="261"/>
      <c r="N57" s="261"/>
      <c r="O57" s="261"/>
      <c r="P57" s="260"/>
    </row>
    <row r="58" spans="2:16" ht="13.8">
      <c r="F58" s="264"/>
      <c r="G58" s="268">
        <f>'CONSOLIDACAO MENSAL FUNSEG'!J41</f>
        <v>557578.21</v>
      </c>
      <c r="H58" s="268" t="s">
        <v>305</v>
      </c>
      <c r="I58" s="346"/>
      <c r="J58" s="261"/>
      <c r="L58" s="261"/>
      <c r="M58" s="261"/>
      <c r="N58" s="261"/>
      <c r="O58" s="261"/>
      <c r="P58" s="260"/>
    </row>
    <row r="59" spans="2:16" ht="13.8">
      <c r="F59" s="264"/>
      <c r="G59" s="268">
        <f>'CONSOLIDACAO MENSAL FECDOJ'!J40</f>
        <v>471772.48</v>
      </c>
      <c r="H59" s="268" t="s">
        <v>306</v>
      </c>
      <c r="I59" s="344"/>
      <c r="J59" s="261"/>
      <c r="L59" s="261"/>
      <c r="M59" s="261"/>
      <c r="N59" s="261"/>
      <c r="O59" s="261"/>
      <c r="P59" s="260"/>
    </row>
    <row r="60" spans="2:16" ht="13.8">
      <c r="F60" s="264"/>
      <c r="G60" s="350">
        <f>SUM(G57:G59)</f>
        <v>46978105.169999994</v>
      </c>
      <c r="H60" s="350" t="s">
        <v>12</v>
      </c>
      <c r="I60" s="344"/>
      <c r="J60" s="261"/>
      <c r="L60" s="261"/>
      <c r="M60" s="261"/>
      <c r="N60" s="261"/>
      <c r="O60" s="261"/>
      <c r="P60" s="260"/>
    </row>
    <row r="61" spans="2:16" ht="13.8">
      <c r="F61" s="264"/>
      <c r="G61" s="344"/>
      <c r="H61" s="344"/>
      <c r="I61" s="345"/>
      <c r="J61" s="261"/>
      <c r="L61" s="261"/>
      <c r="M61" s="261"/>
      <c r="N61" s="261"/>
      <c r="O61" s="261"/>
      <c r="P61" s="260"/>
    </row>
    <row r="62" spans="2:16" ht="13.8">
      <c r="F62" s="264"/>
      <c r="G62" s="344"/>
      <c r="H62" s="344"/>
      <c r="I62" s="345"/>
      <c r="J62" s="261"/>
      <c r="L62" s="261"/>
      <c r="M62" s="261"/>
      <c r="N62" s="261"/>
      <c r="O62" s="261"/>
      <c r="P62" s="260"/>
    </row>
    <row r="63" spans="2:16" ht="13.8">
      <c r="F63" s="264"/>
      <c r="G63" s="344"/>
      <c r="H63" s="360" t="s">
        <v>308</v>
      </c>
      <c r="I63" s="361">
        <f>G51-G57</f>
        <v>-7847699</v>
      </c>
      <c r="J63" s="261"/>
      <c r="L63" s="261"/>
      <c r="M63" s="261"/>
      <c r="N63" s="261"/>
      <c r="O63" s="261"/>
      <c r="P63" s="260"/>
    </row>
    <row r="64" spans="2:16" ht="13.8">
      <c r="F64" s="264"/>
      <c r="G64" s="344"/>
      <c r="H64" s="344"/>
      <c r="I64" s="346"/>
      <c r="J64" s="261"/>
      <c r="L64" s="261"/>
      <c r="M64" s="261"/>
      <c r="N64" s="261"/>
      <c r="O64" s="261"/>
      <c r="P64" s="260"/>
    </row>
    <row r="65" spans="6:16" ht="13.8">
      <c r="F65" s="264"/>
      <c r="G65" s="344"/>
      <c r="H65" s="344"/>
      <c r="I65" s="344"/>
      <c r="J65" s="261"/>
      <c r="L65" s="261"/>
      <c r="M65" s="261"/>
      <c r="N65" s="261"/>
      <c r="O65" s="261"/>
      <c r="P65" s="260"/>
    </row>
    <row r="66" spans="6:16" ht="13.8">
      <c r="F66" s="264"/>
      <c r="G66" s="344"/>
      <c r="H66" s="344"/>
      <c r="I66" s="344"/>
      <c r="J66" s="261"/>
      <c r="L66" s="261"/>
      <c r="M66" s="261"/>
      <c r="N66" s="261"/>
      <c r="O66" s="261"/>
      <c r="P66" s="260"/>
    </row>
    <row r="67" spans="6:16" ht="13.8">
      <c r="F67" s="264"/>
      <c r="G67" s="344"/>
      <c r="H67" s="344"/>
      <c r="I67" s="345"/>
      <c r="J67" s="261"/>
      <c r="L67" s="261"/>
      <c r="M67" s="261"/>
      <c r="N67" s="261"/>
      <c r="O67" s="261"/>
      <c r="P67" s="260"/>
    </row>
    <row r="68" spans="6:16" ht="13.8">
      <c r="F68" s="264"/>
      <c r="G68" s="344"/>
      <c r="H68" s="344"/>
      <c r="I68" s="345"/>
      <c r="J68" s="261"/>
      <c r="L68" s="261"/>
      <c r="M68" s="261"/>
      <c r="N68" s="261"/>
      <c r="O68" s="261"/>
      <c r="P68" s="260"/>
    </row>
    <row r="69" spans="6:16" ht="13.8">
      <c r="F69" s="264"/>
      <c r="G69" s="358"/>
      <c r="H69" s="358"/>
      <c r="I69" s="359"/>
      <c r="J69" s="261"/>
      <c r="L69" s="261"/>
      <c r="M69" s="261"/>
      <c r="N69" s="261"/>
      <c r="O69" s="261"/>
      <c r="P69" s="260"/>
    </row>
    <row r="70" spans="6:16" ht="13.8">
      <c r="F70" s="264"/>
      <c r="G70" s="353"/>
      <c r="H70" s="353"/>
      <c r="I70" s="354"/>
      <c r="J70" s="261"/>
      <c r="L70" s="261"/>
      <c r="M70" s="261"/>
      <c r="N70" s="261"/>
      <c r="O70" s="261"/>
      <c r="P70" s="260"/>
    </row>
    <row r="71" spans="6:16" ht="13.8">
      <c r="F71" s="264"/>
      <c r="G71" s="353"/>
      <c r="H71" s="353"/>
      <c r="I71" s="353"/>
      <c r="J71" s="261"/>
      <c r="L71" s="261"/>
      <c r="M71" s="261"/>
      <c r="N71" s="261"/>
      <c r="O71" s="261"/>
      <c r="P71" s="260"/>
    </row>
    <row r="72" spans="6:16" ht="13.8">
      <c r="F72" s="264"/>
      <c r="G72" s="353"/>
      <c r="H72" s="353"/>
      <c r="I72" s="353"/>
      <c r="J72" s="261"/>
      <c r="L72" s="261"/>
      <c r="M72" s="261"/>
      <c r="N72" s="261"/>
      <c r="O72" s="261"/>
      <c r="P72" s="260"/>
    </row>
    <row r="73" spans="6:16" ht="13.8">
      <c r="F73" s="264"/>
      <c r="G73" s="353"/>
      <c r="H73" s="353"/>
      <c r="I73" s="339"/>
      <c r="J73" s="261"/>
      <c r="L73" s="261"/>
      <c r="M73" s="261"/>
      <c r="N73" s="261"/>
      <c r="O73" s="261"/>
      <c r="P73" s="260"/>
    </row>
    <row r="74" spans="6:16" ht="13.8">
      <c r="F74" s="264"/>
      <c r="G74" s="353"/>
      <c r="H74" s="353"/>
      <c r="I74" s="339"/>
      <c r="J74" s="261"/>
      <c r="L74" s="261"/>
      <c r="M74" s="261"/>
      <c r="N74" s="261"/>
      <c r="O74" s="261"/>
      <c r="P74" s="260"/>
    </row>
    <row r="75" spans="6:16" ht="13.8">
      <c r="F75" s="264"/>
      <c r="G75" s="353"/>
      <c r="H75" s="353"/>
      <c r="I75" s="339"/>
      <c r="J75" s="261"/>
      <c r="L75" s="261"/>
      <c r="M75" s="261"/>
      <c r="N75" s="261"/>
      <c r="O75" s="261"/>
      <c r="P75" s="260"/>
    </row>
    <row r="76" spans="6:16" ht="13.8">
      <c r="F76" s="264"/>
      <c r="G76" s="353"/>
      <c r="H76" s="353"/>
      <c r="I76" s="339"/>
      <c r="J76" s="261"/>
      <c r="L76" s="261"/>
      <c r="M76" s="261"/>
      <c r="N76" s="261"/>
      <c r="O76" s="261"/>
      <c r="P76" s="260"/>
    </row>
    <row r="77" spans="6:16" ht="13.8">
      <c r="F77" s="264"/>
      <c r="G77" s="353"/>
      <c r="H77" s="353"/>
      <c r="I77" s="353"/>
      <c r="J77" s="261"/>
      <c r="L77" s="261"/>
      <c r="M77" s="261"/>
      <c r="N77" s="261"/>
      <c r="O77" s="261"/>
      <c r="P77" s="260"/>
    </row>
    <row r="78" spans="6:16" ht="13.8">
      <c r="F78" s="264"/>
      <c r="G78" s="353"/>
      <c r="H78" s="353"/>
      <c r="I78" s="353"/>
      <c r="J78" s="261"/>
      <c r="L78" s="261"/>
      <c r="M78" s="261"/>
      <c r="N78" s="261"/>
      <c r="O78" s="261"/>
      <c r="P78" s="260"/>
    </row>
    <row r="79" spans="6:16" ht="13.8">
      <c r="F79" s="264"/>
      <c r="G79" s="353"/>
      <c r="H79" s="353"/>
      <c r="I79" s="353"/>
      <c r="J79" s="261"/>
      <c r="L79" s="261"/>
      <c r="M79" s="261"/>
      <c r="N79" s="261"/>
      <c r="O79" s="261"/>
      <c r="P79" s="260"/>
    </row>
    <row r="80" spans="6:16" ht="13.8">
      <c r="F80" s="264"/>
      <c r="G80" s="353"/>
      <c r="H80" s="353"/>
      <c r="I80" s="353"/>
      <c r="J80" s="261"/>
      <c r="L80" s="261"/>
      <c r="M80" s="261"/>
      <c r="N80" s="261"/>
      <c r="O80" s="261"/>
      <c r="P80" s="260"/>
    </row>
    <row r="81" spans="6:16" ht="13.8">
      <c r="F81" s="264"/>
      <c r="G81" s="353"/>
      <c r="H81" s="353"/>
      <c r="I81" s="353"/>
      <c r="J81" s="261"/>
      <c r="L81" s="261"/>
      <c r="M81" s="261"/>
      <c r="N81" s="261"/>
      <c r="O81" s="261"/>
      <c r="P81" s="260"/>
    </row>
    <row r="82" spans="6:16" ht="13.8">
      <c r="F82" s="264"/>
      <c r="G82" s="353"/>
      <c r="H82" s="353"/>
      <c r="I82" s="353"/>
      <c r="J82" s="261"/>
      <c r="L82" s="261"/>
      <c r="M82" s="261"/>
      <c r="N82" s="261"/>
      <c r="O82" s="261"/>
      <c r="P82" s="260"/>
    </row>
    <row r="83" spans="6:16" ht="13.8">
      <c r="F83" s="264"/>
      <c r="G83" s="353"/>
      <c r="H83" s="353"/>
      <c r="I83" s="353"/>
      <c r="J83" s="261"/>
      <c r="L83" s="261"/>
      <c r="M83" s="261"/>
      <c r="N83" s="261"/>
      <c r="O83" s="261"/>
      <c r="P83" s="260"/>
    </row>
    <row r="84" spans="6:16" ht="13.8">
      <c r="F84" s="264"/>
      <c r="G84" s="353"/>
      <c r="H84" s="353"/>
      <c r="I84" s="353"/>
      <c r="J84" s="261"/>
      <c r="L84" s="261"/>
      <c r="M84" s="261"/>
      <c r="N84" s="261"/>
      <c r="O84" s="261"/>
      <c r="P84" s="260"/>
    </row>
    <row r="85" spans="6:16" ht="13.8">
      <c r="F85" s="264"/>
      <c r="G85" s="353"/>
      <c r="H85" s="353"/>
      <c r="I85" s="353"/>
      <c r="J85" s="261"/>
      <c r="L85" s="261"/>
      <c r="M85" s="261"/>
      <c r="N85" s="261"/>
      <c r="O85" s="261"/>
      <c r="P85" s="260"/>
    </row>
    <row r="86" spans="6:16" ht="13.8">
      <c r="F86" s="264"/>
      <c r="G86" s="353"/>
      <c r="H86" s="353"/>
      <c r="I86" s="353"/>
      <c r="J86" s="261"/>
      <c r="L86" s="261"/>
      <c r="M86" s="261"/>
      <c r="N86" s="261"/>
      <c r="O86" s="261"/>
      <c r="P86" s="260"/>
    </row>
    <row r="87" spans="6:16" ht="13.8">
      <c r="F87" s="264"/>
      <c r="G87" s="353"/>
      <c r="H87" s="353"/>
      <c r="I87" s="353"/>
      <c r="J87" s="261"/>
      <c r="L87" s="261"/>
      <c r="M87" s="261"/>
      <c r="N87" s="261"/>
      <c r="O87" s="261"/>
      <c r="P87" s="260"/>
    </row>
    <row r="88" spans="6:16" ht="13.8">
      <c r="F88" s="264"/>
      <c r="G88" s="353"/>
      <c r="H88" s="353"/>
      <c r="I88" s="353"/>
      <c r="J88" s="261"/>
      <c r="L88" s="261"/>
      <c r="M88" s="261"/>
      <c r="N88" s="261"/>
      <c r="O88" s="261"/>
      <c r="P88" s="260"/>
    </row>
    <row r="89" spans="6:16" ht="13.8">
      <c r="F89" s="264"/>
      <c r="G89" s="353"/>
      <c r="H89" s="353"/>
      <c r="I89" s="353"/>
      <c r="J89" s="261"/>
      <c r="L89" s="261"/>
      <c r="M89" s="261"/>
      <c r="N89" s="261"/>
      <c r="O89" s="261"/>
      <c r="P89" s="260"/>
    </row>
    <row r="90" spans="6:16" ht="13.8">
      <c r="F90" s="264"/>
      <c r="G90" s="353"/>
      <c r="H90" s="353"/>
      <c r="I90" s="353"/>
      <c r="J90" s="261"/>
      <c r="L90" s="261"/>
      <c r="M90" s="261"/>
      <c r="N90" s="261"/>
      <c r="O90" s="261"/>
      <c r="P90" s="260"/>
    </row>
    <row r="91" spans="6:16" ht="13.8">
      <c r="F91" s="264"/>
      <c r="G91" s="339"/>
      <c r="H91" s="339"/>
      <c r="I91" s="339"/>
      <c r="J91" s="261"/>
      <c r="L91" s="261"/>
      <c r="M91" s="261"/>
      <c r="N91" s="261"/>
      <c r="O91" s="261"/>
      <c r="P91" s="260"/>
    </row>
    <row r="92" spans="6:16" ht="13.8">
      <c r="F92" s="264"/>
      <c r="G92" s="339"/>
      <c r="H92" s="339"/>
      <c r="I92" s="339"/>
      <c r="J92" s="261"/>
      <c r="L92" s="261"/>
      <c r="M92" s="261"/>
      <c r="N92" s="261"/>
      <c r="O92" s="261"/>
      <c r="P92" s="260"/>
    </row>
    <row r="93" spans="6:16" ht="13.8">
      <c r="F93" s="277"/>
      <c r="G93" s="355"/>
      <c r="H93" s="355"/>
      <c r="I93" s="356"/>
      <c r="J93" s="261"/>
      <c r="L93" s="261"/>
      <c r="M93" s="261"/>
      <c r="N93" s="261"/>
      <c r="O93" s="261"/>
      <c r="P93" s="260"/>
    </row>
    <row r="94" spans="6:16" ht="13.8">
      <c r="F94" s="277"/>
      <c r="G94" s="355"/>
      <c r="H94" s="355"/>
      <c r="I94" s="356"/>
      <c r="J94" s="261"/>
      <c r="L94" s="261"/>
      <c r="M94" s="261"/>
      <c r="N94" s="261"/>
      <c r="O94" s="261"/>
      <c r="P94" s="260"/>
    </row>
    <row r="95" spans="6:16" ht="13.8">
      <c r="F95" s="277"/>
      <c r="G95" s="355"/>
      <c r="H95" s="355"/>
      <c r="I95" s="339"/>
      <c r="J95" s="261"/>
      <c r="L95" s="261"/>
      <c r="M95" s="261"/>
      <c r="N95" s="261"/>
      <c r="O95" s="261"/>
      <c r="P95" s="260"/>
    </row>
    <row r="96" spans="6:16" ht="13.8">
      <c r="F96" s="277"/>
      <c r="G96" s="339"/>
      <c r="H96" s="339"/>
      <c r="I96" s="339"/>
      <c r="J96" s="261"/>
      <c r="L96" s="261"/>
      <c r="M96" s="261"/>
      <c r="N96" s="261"/>
      <c r="O96" s="261"/>
      <c r="P96" s="260"/>
    </row>
    <row r="97" spans="6:16" ht="13.8">
      <c r="F97" s="264"/>
      <c r="G97" s="339"/>
      <c r="H97" s="339"/>
      <c r="I97" s="339"/>
      <c r="J97" s="261"/>
      <c r="L97" s="261"/>
      <c r="M97" s="261"/>
      <c r="N97" s="261"/>
      <c r="O97" s="261"/>
      <c r="P97" s="260"/>
    </row>
    <row r="98" spans="6:16" ht="13.8">
      <c r="F98" s="278"/>
      <c r="G98" s="354"/>
      <c r="H98" s="354"/>
      <c r="I98" s="357"/>
      <c r="J98" s="339"/>
      <c r="L98" s="261"/>
      <c r="M98" s="261"/>
      <c r="N98" s="261"/>
      <c r="O98" s="261"/>
      <c r="P98" s="260"/>
    </row>
    <row r="99" spans="6:16" ht="13.8">
      <c r="F99" s="227"/>
      <c r="G99" s="354"/>
      <c r="H99" s="354"/>
      <c r="I99" s="357"/>
      <c r="J99" s="339"/>
    </row>
    <row r="100" spans="6:16" ht="13.8">
      <c r="F100" s="227"/>
      <c r="G100" s="339"/>
      <c r="H100" s="339"/>
      <c r="I100" s="339"/>
    </row>
    <row r="101" spans="6:16" ht="13.8">
      <c r="F101" s="279"/>
      <c r="G101" s="355"/>
      <c r="H101" s="339"/>
      <c r="I101" s="339"/>
    </row>
    <row r="102" spans="6:16" ht="13.8">
      <c r="F102" s="279"/>
      <c r="G102" s="355"/>
      <c r="H102" s="339"/>
      <c r="I102" s="339"/>
    </row>
    <row r="103" spans="6:16" ht="13.8">
      <c r="F103" s="279"/>
      <c r="G103" s="355"/>
      <c r="H103" s="339"/>
      <c r="I103" s="339"/>
    </row>
    <row r="104" spans="6:16" ht="13.8">
      <c r="F104" s="279"/>
      <c r="G104" s="339"/>
      <c r="H104" s="339"/>
      <c r="I104" s="339"/>
    </row>
    <row r="105" spans="6:16" ht="13.8">
      <c r="F105" s="227"/>
      <c r="G105" s="339"/>
      <c r="H105" s="339"/>
      <c r="I105" s="339"/>
    </row>
    <row r="106" spans="6:16" ht="13.8">
      <c r="F106" s="280">
        <f>SUM(F101:F105)</f>
        <v>0</v>
      </c>
      <c r="G106" s="354"/>
      <c r="H106" s="339"/>
      <c r="I106" s="339"/>
    </row>
    <row r="107" spans="6:16" ht="13.8">
      <c r="F107" s="263"/>
      <c r="G107" s="339"/>
      <c r="H107" s="339"/>
      <c r="I107" s="339"/>
    </row>
    <row r="108" spans="6:16" ht="13.8">
      <c r="G108" s="339"/>
      <c r="H108" s="339"/>
      <c r="I108" s="339"/>
    </row>
    <row r="109" spans="6:16" ht="13.8">
      <c r="G109" s="339"/>
      <c r="H109" s="339"/>
      <c r="I109" s="339"/>
    </row>
    <row r="110" spans="6:16" ht="13.8">
      <c r="G110" s="339"/>
      <c r="H110" s="339"/>
      <c r="I110" s="339"/>
    </row>
    <row r="111" spans="6:16" ht="13.8">
      <c r="G111" s="339"/>
      <c r="H111" s="339"/>
      <c r="I111" s="339"/>
    </row>
    <row r="112" spans="6:16" ht="13.8">
      <c r="G112" s="339"/>
      <c r="H112" s="339"/>
      <c r="I112" s="339"/>
    </row>
    <row r="113" spans="7:9" ht="13.8">
      <c r="G113" s="339"/>
      <c r="H113" s="339"/>
      <c r="I113" s="339"/>
    </row>
    <row r="114" spans="7:9" ht="13.8">
      <c r="G114" s="339"/>
      <c r="H114" s="339"/>
      <c r="I114" s="339"/>
    </row>
    <row r="115" spans="7:9" ht="13.95" customHeight="1">
      <c r="G115" s="339"/>
      <c r="H115" s="339"/>
      <c r="I115" s="339"/>
    </row>
    <row r="116" spans="7:9" ht="13.95" customHeight="1">
      <c r="G116" s="339"/>
      <c r="H116" s="339"/>
      <c r="I116" s="339"/>
    </row>
    <row r="117" spans="7:9" ht="13.95" customHeight="1">
      <c r="G117" s="339"/>
      <c r="H117" s="339"/>
      <c r="I117" s="339"/>
    </row>
    <row r="118" spans="7:9" ht="13.95" customHeight="1">
      <c r="G118" s="339"/>
      <c r="H118" s="339"/>
      <c r="I118" s="339"/>
    </row>
    <row r="119" spans="7:9" ht="13.95" customHeight="1">
      <c r="G119" s="339"/>
      <c r="H119" s="339"/>
      <c r="I119" s="339"/>
    </row>
    <row r="120" spans="7:9" ht="13.95" customHeight="1">
      <c r="G120" s="339"/>
      <c r="H120" s="339"/>
      <c r="I120" s="339"/>
    </row>
    <row r="121" spans="7:9" ht="13.95" customHeight="1">
      <c r="G121" s="339"/>
      <c r="H121" s="339"/>
      <c r="I121" s="339"/>
    </row>
    <row r="122" spans="7:9" ht="13.95" customHeight="1">
      <c r="G122" s="339"/>
      <c r="H122" s="339"/>
      <c r="I122" s="339"/>
    </row>
    <row r="123" spans="7:9" ht="13.95" customHeight="1">
      <c r="G123" s="339"/>
      <c r="H123" s="339"/>
      <c r="I123" s="339"/>
    </row>
    <row r="124" spans="7:9" ht="13.95" customHeight="1">
      <c r="G124" s="339"/>
      <c r="H124" s="339"/>
      <c r="I124" s="339"/>
    </row>
    <row r="125" spans="7:9" ht="13.95" customHeight="1">
      <c r="G125" s="339"/>
      <c r="H125" s="339"/>
      <c r="I125" s="339"/>
    </row>
    <row r="126" spans="7:9" ht="13.95" customHeight="1">
      <c r="G126" s="227"/>
      <c r="H126" s="227"/>
    </row>
    <row r="127" spans="7:9" ht="13.95" customHeight="1">
      <c r="G127" s="227"/>
      <c r="H127" s="227"/>
    </row>
    <row r="128" spans="7:9" ht="13.95" customHeight="1">
      <c r="G128" s="227"/>
      <c r="H128" s="227"/>
    </row>
    <row r="129" spans="7:8" ht="13.95" customHeight="1">
      <c r="G129" s="227"/>
      <c r="H129" s="227"/>
    </row>
    <row r="130" spans="7:8" ht="13.95" customHeight="1">
      <c r="G130" s="227"/>
      <c r="H130" s="227"/>
    </row>
    <row r="131" spans="7:8" ht="13.95" customHeight="1">
      <c r="G131" s="227"/>
      <c r="H131" s="227"/>
    </row>
    <row r="132" spans="7:8" ht="13.95" customHeight="1">
      <c r="G132" s="227"/>
      <c r="H132" s="227"/>
    </row>
    <row r="133" spans="7:8" ht="13.95" customHeight="1">
      <c r="G133" s="227"/>
      <c r="H133" s="227"/>
    </row>
    <row r="134" spans="7:8" ht="13.95" customHeight="1">
      <c r="G134" s="227"/>
      <c r="H134" s="227"/>
    </row>
    <row r="135" spans="7:8" ht="13.95" customHeight="1">
      <c r="G135" s="227"/>
      <c r="H135" s="227"/>
    </row>
    <row r="136" spans="7:8" ht="13.95" customHeight="1">
      <c r="G136" s="227"/>
      <c r="H136" s="227"/>
    </row>
    <row r="137" spans="7:8" ht="13.95" customHeight="1">
      <c r="G137" s="227"/>
      <c r="H137" s="227"/>
    </row>
    <row r="138" spans="7:8" ht="13.95" customHeight="1">
      <c r="G138" s="227"/>
      <c r="H138" s="227"/>
    </row>
    <row r="139" spans="7:8" ht="13.95" customHeight="1">
      <c r="G139" s="227"/>
      <c r="H139" s="227"/>
    </row>
    <row r="140" spans="7:8" ht="13.95" customHeight="1">
      <c r="G140" s="227"/>
      <c r="H140" s="227"/>
    </row>
    <row r="141" spans="7:8" ht="13.95" customHeight="1">
      <c r="G141" s="227"/>
      <c r="H141" s="227"/>
    </row>
    <row r="142" spans="7:8" ht="13.95" customHeight="1">
      <c r="G142" s="227"/>
      <c r="H142" s="227"/>
    </row>
    <row r="143" spans="7:8" ht="13.95" customHeight="1">
      <c r="G143" s="227"/>
      <c r="H143" s="227"/>
    </row>
    <row r="144" spans="7:8" ht="13.95" customHeight="1">
      <c r="G144" s="227"/>
      <c r="H144" s="227"/>
    </row>
    <row r="145" spans="7:9" ht="13.95" customHeight="1">
      <c r="G145" s="227"/>
      <c r="H145" s="227"/>
    </row>
    <row r="146" spans="7:9" ht="13.95" customHeight="1">
      <c r="G146" s="227"/>
      <c r="H146" s="227"/>
    </row>
    <row r="147" spans="7:9" ht="13.95" customHeight="1">
      <c r="G147" s="227"/>
      <c r="H147" s="227"/>
    </row>
    <row r="148" spans="7:9" ht="13.95" customHeight="1">
      <c r="G148" s="227"/>
      <c r="H148" s="227"/>
    </row>
    <row r="149" spans="7:9" ht="13.95" customHeight="1">
      <c r="G149" s="227"/>
      <c r="H149" s="227"/>
    </row>
    <row r="150" spans="7:9" ht="13.95" customHeight="1">
      <c r="G150" s="227"/>
      <c r="H150" s="227"/>
    </row>
    <row r="151" spans="7:9" ht="13.95" customHeight="1">
      <c r="G151" s="227"/>
      <c r="H151" s="227"/>
    </row>
    <row r="152" spans="7:9" ht="13.95" customHeight="1">
      <c r="G152" s="227"/>
      <c r="H152" s="227"/>
    </row>
    <row r="153" spans="7:9" ht="13.95" customHeight="1">
      <c r="G153" s="227"/>
      <c r="H153" s="227"/>
    </row>
    <row r="154" spans="7:9" ht="13.95" customHeight="1">
      <c r="G154" s="227"/>
      <c r="H154" s="227"/>
    </row>
    <row r="155" spans="7:9" ht="13.95" customHeight="1">
      <c r="G155" s="227"/>
      <c r="H155" s="227"/>
    </row>
    <row r="156" spans="7:9" ht="13.95" customHeight="1">
      <c r="G156" s="227"/>
      <c r="H156" s="227"/>
    </row>
    <row r="157" spans="7:9" ht="13.95" customHeight="1">
      <c r="G157" s="227"/>
      <c r="H157" s="227"/>
    </row>
    <row r="158" spans="7:9" ht="13.95" customHeight="1">
      <c r="G158" s="264"/>
      <c r="H158" s="264"/>
      <c r="I158" s="264"/>
    </row>
    <row r="159" spans="7:9" ht="13.95" customHeight="1">
      <c r="G159" s="264"/>
      <c r="H159" s="264"/>
      <c r="I159" s="264"/>
    </row>
    <row r="160" spans="7:9" ht="13.95" customHeight="1">
      <c r="G160" s="264"/>
      <c r="H160" s="264"/>
      <c r="I160" s="264"/>
    </row>
    <row r="161" spans="7:9" ht="13.95" customHeight="1">
      <c r="G161" s="264"/>
      <c r="H161" s="264"/>
      <c r="I161" s="264"/>
    </row>
    <row r="162" spans="7:9" ht="13.95" customHeight="1">
      <c r="G162" s="264"/>
      <c r="H162" s="264"/>
      <c r="I162" s="264"/>
    </row>
    <row r="163" spans="7:9" ht="13.95" customHeight="1">
      <c r="G163" s="264"/>
      <c r="H163" s="264"/>
      <c r="I163" s="264"/>
    </row>
    <row r="164" spans="7:9" ht="13.95" customHeight="1">
      <c r="G164" s="264"/>
      <c r="H164" s="264"/>
      <c r="I164" s="264"/>
    </row>
    <row r="165" spans="7:9" ht="13.95" customHeight="1">
      <c r="G165" s="264"/>
      <c r="H165" s="264"/>
      <c r="I165" s="264"/>
    </row>
    <row r="166" spans="7:9" ht="13.95" customHeight="1">
      <c r="G166" s="264"/>
      <c r="H166" s="264"/>
      <c r="I166" s="264"/>
    </row>
    <row r="167" spans="7:9" ht="13.95" customHeight="1">
      <c r="G167" s="264"/>
      <c r="H167" s="264"/>
      <c r="I167" s="264"/>
    </row>
    <row r="168" spans="7:9" ht="13.95" customHeight="1">
      <c r="G168" s="264"/>
      <c r="H168" s="264"/>
      <c r="I168" s="264"/>
    </row>
    <row r="169" spans="7:9" ht="13.95" customHeight="1">
      <c r="G169" s="264"/>
      <c r="H169" s="264"/>
      <c r="I169" s="264"/>
    </row>
    <row r="170" spans="7:9" ht="13.95" customHeight="1">
      <c r="G170" s="264"/>
      <c r="H170" s="264"/>
      <c r="I170" s="264"/>
    </row>
    <row r="171" spans="7:9" ht="13.95" customHeight="1">
      <c r="G171" s="264"/>
      <c r="H171" s="264"/>
      <c r="I171" s="264"/>
    </row>
    <row r="172" spans="7:9" ht="13.95" customHeight="1">
      <c r="G172" s="264"/>
      <c r="H172" s="264"/>
      <c r="I172" s="264"/>
    </row>
    <row r="173" spans="7:9" ht="13.95" customHeight="1">
      <c r="G173" s="264"/>
      <c r="H173" s="264"/>
      <c r="I173" s="264"/>
    </row>
    <row r="174" spans="7:9" ht="13.95" customHeight="1">
      <c r="G174" s="264"/>
      <c r="H174" s="264"/>
      <c r="I174" s="264"/>
    </row>
    <row r="175" spans="7:9" ht="13.95" customHeight="1">
      <c r="G175" s="264"/>
      <c r="H175" s="264"/>
      <c r="I175" s="264"/>
    </row>
    <row r="176" spans="7:9" ht="13.95" customHeight="1">
      <c r="G176" s="264"/>
      <c r="H176" s="264"/>
      <c r="I176" s="264"/>
    </row>
    <row r="177" spans="7:9" ht="13.95" customHeight="1">
      <c r="G177" s="264"/>
      <c r="H177" s="264"/>
      <c r="I177" s="264"/>
    </row>
    <row r="178" spans="7:9" ht="13.95" customHeight="1">
      <c r="G178" s="264"/>
      <c r="H178" s="264"/>
      <c r="I178" s="264"/>
    </row>
    <row r="179" spans="7:9" ht="13.95" customHeight="1">
      <c r="G179" s="264"/>
      <c r="H179" s="264"/>
      <c r="I179" s="264"/>
    </row>
  </sheetData>
  <mergeCells count="7">
    <mergeCell ref="B41:Q41"/>
    <mergeCell ref="B45:D45"/>
    <mergeCell ref="B1:P1"/>
    <mergeCell ref="B4:P4"/>
    <mergeCell ref="A5:A32"/>
    <mergeCell ref="A33:Q33"/>
    <mergeCell ref="A34:A39"/>
  </mergeCells>
  <pageMargins left="0.313194444444444" right="0.113194444444444" top="0.453472222222222" bottom="0.20763888888888901" header="0.511811023622047" footer="0.511811023622047"/>
  <pageSetup paperSize="77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"/>
  <sheetViews>
    <sheetView topLeftCell="B1" zoomScaleNormal="100" workbookViewId="0">
      <selection activeCell="J9" sqref="J9"/>
    </sheetView>
  </sheetViews>
  <sheetFormatPr defaultColWidth="11.5546875" defaultRowHeight="12.75" customHeight="1"/>
  <cols>
    <col min="2" max="2" width="85.109375" customWidth="1"/>
    <col min="3" max="3" width="15.44140625" customWidth="1"/>
    <col min="4" max="4" width="14.5546875" customWidth="1"/>
    <col min="5" max="5" width="15.6640625" customWidth="1"/>
    <col min="6" max="6" width="15" customWidth="1"/>
    <col min="7" max="7" width="16" customWidth="1"/>
    <col min="8" max="8" width="20.6640625" customWidth="1"/>
    <col min="9" max="9" width="17" customWidth="1"/>
    <col min="10" max="10" width="16.44140625" customWidth="1"/>
    <col min="11" max="11" width="15" customWidth="1"/>
    <col min="12" max="12" width="13.44140625" customWidth="1"/>
    <col min="13" max="13" width="15.33203125" customWidth="1"/>
    <col min="14" max="14" width="14.44140625" customWidth="1"/>
    <col min="15" max="15" width="17.5546875" customWidth="1"/>
  </cols>
  <sheetData>
    <row r="1" spans="1:16" ht="13.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399999999999999">
      <c r="A2" s="70"/>
      <c r="B2" s="409" t="s">
        <v>111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228"/>
    </row>
    <row r="3" spans="1:16" ht="17.399999999999999">
      <c r="A3" s="70"/>
      <c r="B3" s="416" t="s">
        <v>309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228"/>
    </row>
    <row r="4" spans="1:16" ht="78">
      <c r="A4" s="325"/>
      <c r="B4" s="326"/>
      <c r="C4" s="327" t="s">
        <v>113</v>
      </c>
      <c r="D4" s="327" t="s">
        <v>114</v>
      </c>
      <c r="E4" s="327" t="s">
        <v>115</v>
      </c>
      <c r="F4" s="327" t="s">
        <v>116</v>
      </c>
      <c r="G4" s="327" t="s">
        <v>117</v>
      </c>
      <c r="H4" s="327" t="s">
        <v>118</v>
      </c>
      <c r="I4" s="327" t="s">
        <v>119</v>
      </c>
      <c r="J4" s="327" t="s">
        <v>120</v>
      </c>
      <c r="K4" s="327" t="s">
        <v>121</v>
      </c>
      <c r="L4" s="327" t="s">
        <v>122</v>
      </c>
      <c r="M4" s="327" t="s">
        <v>123</v>
      </c>
      <c r="N4" s="327" t="s">
        <v>124</v>
      </c>
      <c r="O4" s="328" t="s">
        <v>12</v>
      </c>
      <c r="P4" s="328" t="s">
        <v>125</v>
      </c>
    </row>
    <row r="5" spans="1:16" ht="18" customHeight="1">
      <c r="A5" s="325"/>
      <c r="B5" s="417" t="s">
        <v>128</v>
      </c>
      <c r="C5" s="417"/>
      <c r="D5" s="417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328"/>
    </row>
    <row r="6" spans="1:16" ht="14.4">
      <c r="A6" s="418" t="s">
        <v>10</v>
      </c>
      <c r="B6" s="234" t="s">
        <v>310</v>
      </c>
      <c r="C6" s="235">
        <v>375173.51</v>
      </c>
      <c r="D6" s="235">
        <v>435834.26</v>
      </c>
      <c r="E6" s="235">
        <v>532197.32999999996</v>
      </c>
      <c r="F6" s="235">
        <v>532688.55000000005</v>
      </c>
      <c r="G6" s="235">
        <v>548011.89</v>
      </c>
      <c r="H6" s="235">
        <v>597497.48</v>
      </c>
      <c r="I6" s="235">
        <v>613201.87</v>
      </c>
      <c r="J6" s="256">
        <v>554590.31999999995</v>
      </c>
      <c r="K6" s="256"/>
      <c r="L6" s="256"/>
      <c r="M6" s="256"/>
      <c r="N6" s="256"/>
      <c r="O6" s="256">
        <f t="shared" ref="O6:O38" si="0">SUM(C6+D6+E6+F6+G6+H6+I6+J6+K6+L6+M6+N6)</f>
        <v>4189195.21</v>
      </c>
      <c r="P6" s="236">
        <f>O6/'CONSOLIDAÇÃO MENSAL FERMOJU 202'!$P$42</f>
        <v>1.1450284180232766E-2</v>
      </c>
    </row>
    <row r="7" spans="1:16" ht="14.4">
      <c r="A7" s="418"/>
      <c r="B7" s="234" t="s">
        <v>311</v>
      </c>
      <c r="C7" s="235">
        <v>3.78</v>
      </c>
      <c r="D7" s="235">
        <v>17.260000000000002</v>
      </c>
      <c r="E7" s="235">
        <v>493.76</v>
      </c>
      <c r="F7" s="235">
        <v>397.38</v>
      </c>
      <c r="G7" s="235">
        <v>1120.6600000000001</v>
      </c>
      <c r="H7" s="235">
        <v>554.32000000000005</v>
      </c>
      <c r="I7" s="235">
        <v>98.35</v>
      </c>
      <c r="J7" s="256"/>
      <c r="K7" s="256"/>
      <c r="L7" s="256"/>
      <c r="M7" s="256"/>
      <c r="N7" s="256"/>
      <c r="O7" s="256">
        <f t="shared" si="0"/>
        <v>2685.51</v>
      </c>
      <c r="P7" s="236">
        <f>O7/'CONSOLIDAÇÃO MENSAL FERMOJU 202'!$P$42</f>
        <v>7.3402768616401855E-6</v>
      </c>
    </row>
    <row r="8" spans="1:16" ht="14.4">
      <c r="A8" s="418"/>
      <c r="B8" s="234" t="s">
        <v>312</v>
      </c>
      <c r="C8" s="235">
        <v>3253.57</v>
      </c>
      <c r="D8" s="235">
        <v>2258.36</v>
      </c>
      <c r="E8" s="235">
        <v>12186.4</v>
      </c>
      <c r="F8" s="235">
        <v>2876.31</v>
      </c>
      <c r="G8" s="235">
        <v>3019.1</v>
      </c>
      <c r="H8" s="235">
        <v>4191.53</v>
      </c>
      <c r="I8" s="235">
        <v>3960.94</v>
      </c>
      <c r="J8" s="256">
        <v>2760.17</v>
      </c>
      <c r="K8" s="256"/>
      <c r="L8" s="256"/>
      <c r="M8" s="256"/>
      <c r="N8" s="256"/>
      <c r="O8" s="256">
        <f t="shared" si="0"/>
        <v>34506.379999999997</v>
      </c>
      <c r="P8" s="236">
        <f>O8/'CONSOLIDAÇÃO MENSAL FERMOJU 202'!$P$42</f>
        <v>9.4315933544452863E-5</v>
      </c>
    </row>
    <row r="9" spans="1:16" ht="14.4">
      <c r="A9" s="418"/>
      <c r="B9" s="234" t="s">
        <v>313</v>
      </c>
      <c r="C9" s="235"/>
      <c r="D9" s="235"/>
      <c r="E9" s="235"/>
      <c r="F9" s="235"/>
      <c r="G9" s="235"/>
      <c r="H9" s="329"/>
      <c r="I9" s="256"/>
      <c r="J9" s="256"/>
      <c r="K9" s="256"/>
      <c r="L9" s="256"/>
      <c r="M9" s="256"/>
      <c r="N9" s="256"/>
      <c r="O9" s="256">
        <f t="shared" si="0"/>
        <v>0</v>
      </c>
      <c r="P9" s="236">
        <f>O9/'CONSOLIDAÇÃO MENSAL FERMOJU 202'!$P$42</f>
        <v>0</v>
      </c>
    </row>
    <row r="10" spans="1:16" ht="14.4">
      <c r="A10" s="418"/>
      <c r="B10" s="234" t="s">
        <v>314</v>
      </c>
      <c r="C10" s="235"/>
      <c r="D10" s="235"/>
      <c r="E10" s="235"/>
      <c r="F10" s="235"/>
      <c r="G10" s="235"/>
      <c r="H10" s="329"/>
      <c r="I10" s="256"/>
      <c r="J10" s="256"/>
      <c r="K10" s="256"/>
      <c r="L10" s="256"/>
      <c r="M10" s="256"/>
      <c r="N10" s="256"/>
      <c r="O10" s="256">
        <f t="shared" si="0"/>
        <v>0</v>
      </c>
      <c r="P10" s="236">
        <f>O10/'CONSOLIDAÇÃO MENSAL FERMOJU 202'!$P$42</f>
        <v>0</v>
      </c>
    </row>
    <row r="11" spans="1:16" ht="14.4">
      <c r="A11" s="418"/>
      <c r="B11" s="234" t="s">
        <v>315</v>
      </c>
      <c r="C11" s="235"/>
      <c r="D11" s="235"/>
      <c r="E11" s="235"/>
      <c r="F11" s="235"/>
      <c r="G11" s="235"/>
      <c r="H11" s="329"/>
      <c r="I11" s="256"/>
      <c r="J11" s="256"/>
      <c r="K11" s="256"/>
      <c r="L11" s="256"/>
      <c r="M11" s="256"/>
      <c r="N11" s="256"/>
      <c r="O11" s="256">
        <f t="shared" si="0"/>
        <v>0</v>
      </c>
      <c r="P11" s="236">
        <f>O11/'CONSOLIDAÇÃO MENSAL FERMOJU 202'!$P$42</f>
        <v>0</v>
      </c>
    </row>
    <row r="12" spans="1:16" ht="14.4">
      <c r="A12" s="418"/>
      <c r="B12" s="234" t="s">
        <v>316</v>
      </c>
      <c r="C12" s="256"/>
      <c r="D12" s="256"/>
      <c r="E12" s="256"/>
      <c r="F12" s="256"/>
      <c r="G12" s="256"/>
      <c r="H12" s="329"/>
      <c r="I12" s="256"/>
      <c r="J12" s="256"/>
      <c r="K12" s="256"/>
      <c r="L12" s="256"/>
      <c r="M12" s="256"/>
      <c r="N12" s="256"/>
      <c r="O12" s="256">
        <f t="shared" si="0"/>
        <v>0</v>
      </c>
      <c r="P12" s="236">
        <f>O12/'CONSOLIDAÇÃO MENSAL FERMOJU 202'!$P$42</f>
        <v>0</v>
      </c>
    </row>
    <row r="13" spans="1:16" ht="14.4">
      <c r="A13" s="418"/>
      <c r="B13" s="234" t="s">
        <v>317</v>
      </c>
      <c r="C13" s="256"/>
      <c r="D13" s="256"/>
      <c r="E13" s="256"/>
      <c r="F13" s="256"/>
      <c r="G13" s="256"/>
      <c r="H13" s="329"/>
      <c r="I13" s="256"/>
      <c r="J13" s="256"/>
      <c r="K13" s="256"/>
      <c r="L13" s="256"/>
      <c r="M13" s="256"/>
      <c r="N13" s="256"/>
      <c r="O13" s="256">
        <f t="shared" si="0"/>
        <v>0</v>
      </c>
      <c r="P13" s="236">
        <f>O13/'CONSOLIDAÇÃO MENSAL FERMOJU 202'!$P$42</f>
        <v>0</v>
      </c>
    </row>
    <row r="14" spans="1:16" ht="14.4">
      <c r="A14" s="418"/>
      <c r="B14" s="234" t="s">
        <v>318</v>
      </c>
      <c r="C14" s="256"/>
      <c r="D14" s="256"/>
      <c r="E14" s="256"/>
      <c r="F14" s="256"/>
      <c r="G14" s="256"/>
      <c r="H14" s="329"/>
      <c r="I14" s="256"/>
      <c r="J14" s="256"/>
      <c r="K14" s="256"/>
      <c r="L14" s="256"/>
      <c r="M14" s="256"/>
      <c r="N14" s="256"/>
      <c r="O14" s="256">
        <f t="shared" si="0"/>
        <v>0</v>
      </c>
      <c r="P14" s="236">
        <f>O14/'CONSOLIDAÇÃO MENSAL FERMOJU 202'!$P$42</f>
        <v>0</v>
      </c>
    </row>
    <row r="15" spans="1:16" ht="14.4">
      <c r="A15" s="418"/>
      <c r="B15" s="234" t="s">
        <v>319</v>
      </c>
      <c r="C15" s="256"/>
      <c r="D15" s="256"/>
      <c r="E15" s="256"/>
      <c r="F15" s="256"/>
      <c r="G15" s="256"/>
      <c r="H15" s="329"/>
      <c r="I15" s="256"/>
      <c r="J15" s="256"/>
      <c r="K15" s="256"/>
      <c r="L15" s="256"/>
      <c r="M15" s="256"/>
      <c r="N15" s="256"/>
      <c r="O15" s="256">
        <f t="shared" si="0"/>
        <v>0</v>
      </c>
      <c r="P15" s="236">
        <f>O15/'CONSOLIDAÇÃO MENSAL FERMOJU 202'!$P$42</f>
        <v>0</v>
      </c>
    </row>
    <row r="16" spans="1:16" ht="14.4">
      <c r="A16" s="418"/>
      <c r="B16" s="234" t="s">
        <v>320</v>
      </c>
      <c r="C16" s="256"/>
      <c r="D16" s="256"/>
      <c r="E16" s="256"/>
      <c r="F16" s="256"/>
      <c r="G16" s="256"/>
      <c r="H16" s="329"/>
      <c r="I16" s="256"/>
      <c r="J16" s="256"/>
      <c r="K16" s="256"/>
      <c r="L16" s="256"/>
      <c r="M16" s="256"/>
      <c r="N16" s="256"/>
      <c r="O16" s="256">
        <f t="shared" si="0"/>
        <v>0</v>
      </c>
      <c r="P16" s="236">
        <f>O16/'CONSOLIDAÇÃO MENSAL FERMOJU 202'!$P$42</f>
        <v>0</v>
      </c>
    </row>
    <row r="17" spans="1:16" ht="14.4">
      <c r="A17" s="418"/>
      <c r="B17" s="234" t="s">
        <v>321</v>
      </c>
      <c r="C17" s="256"/>
      <c r="D17" s="256"/>
      <c r="E17" s="256"/>
      <c r="F17" s="256"/>
      <c r="G17" s="256"/>
      <c r="H17" s="329"/>
      <c r="I17" s="256"/>
      <c r="J17" s="256"/>
      <c r="K17" s="256"/>
      <c r="L17" s="256"/>
      <c r="M17" s="256"/>
      <c r="N17" s="256"/>
      <c r="O17" s="256">
        <f t="shared" si="0"/>
        <v>0</v>
      </c>
      <c r="P17" s="236">
        <f>O17/'CONSOLIDAÇÃO MENSAL FERMOJU 202'!$P$42</f>
        <v>0</v>
      </c>
    </row>
    <row r="18" spans="1:16" ht="14.4">
      <c r="A18" s="418"/>
      <c r="B18" s="234" t="s">
        <v>322</v>
      </c>
      <c r="C18" s="256"/>
      <c r="D18" s="256"/>
      <c r="E18" s="256"/>
      <c r="F18" s="256"/>
      <c r="G18" s="256"/>
      <c r="H18" s="329"/>
      <c r="I18" s="256"/>
      <c r="J18" s="256"/>
      <c r="K18" s="256"/>
      <c r="L18" s="256"/>
      <c r="M18" s="256"/>
      <c r="N18" s="256"/>
      <c r="O18" s="256">
        <f t="shared" si="0"/>
        <v>0</v>
      </c>
      <c r="P18" s="236">
        <f>O18/'CONSOLIDAÇÃO MENSAL FERMOJU 202'!$P$42</f>
        <v>0</v>
      </c>
    </row>
    <row r="19" spans="1:16" ht="14.4">
      <c r="A19" s="418"/>
      <c r="B19" s="234" t="s">
        <v>323</v>
      </c>
      <c r="C19" s="256"/>
      <c r="D19" s="256"/>
      <c r="E19" s="256"/>
      <c r="F19" s="256"/>
      <c r="G19" s="256"/>
      <c r="H19" s="329"/>
      <c r="I19" s="256"/>
      <c r="J19" s="256"/>
      <c r="K19" s="256"/>
      <c r="L19" s="256"/>
      <c r="M19" s="256"/>
      <c r="N19" s="256"/>
      <c r="O19" s="256">
        <f t="shared" si="0"/>
        <v>0</v>
      </c>
      <c r="P19" s="236">
        <f>O19/'CONSOLIDAÇÃO MENSAL FERMOJU 202'!$P$42</f>
        <v>0</v>
      </c>
    </row>
    <row r="20" spans="1:16" ht="14.4">
      <c r="A20" s="418"/>
      <c r="B20" s="234" t="s">
        <v>137</v>
      </c>
      <c r="C20" s="256"/>
      <c r="D20" s="256"/>
      <c r="E20" s="256"/>
      <c r="F20" s="256"/>
      <c r="G20" s="256"/>
      <c r="H20" s="329"/>
      <c r="I20" s="256"/>
      <c r="J20" s="256"/>
      <c r="K20" s="256"/>
      <c r="L20" s="256"/>
      <c r="M20" s="256"/>
      <c r="N20" s="256"/>
      <c r="O20" s="256">
        <f t="shared" si="0"/>
        <v>0</v>
      </c>
      <c r="P20" s="236">
        <f>O20/'CONSOLIDAÇÃO MENSAL FERMOJU 202'!$P$42</f>
        <v>0</v>
      </c>
    </row>
    <row r="21" spans="1:16" ht="14.4">
      <c r="A21" s="418"/>
      <c r="B21" s="234" t="s">
        <v>138</v>
      </c>
      <c r="C21" s="256"/>
      <c r="D21" s="256"/>
      <c r="E21" s="256"/>
      <c r="F21" s="256"/>
      <c r="G21" s="256"/>
      <c r="H21" s="329"/>
      <c r="I21" s="256"/>
      <c r="J21" s="256"/>
      <c r="K21" s="256"/>
      <c r="L21" s="256"/>
      <c r="M21" s="256"/>
      <c r="N21" s="256"/>
      <c r="O21" s="256">
        <f t="shared" si="0"/>
        <v>0</v>
      </c>
      <c r="P21" s="236">
        <f>O21/'CONSOLIDAÇÃO MENSAL FERMOJU 202'!$P$42</f>
        <v>0</v>
      </c>
    </row>
    <row r="22" spans="1:16" ht="14.4">
      <c r="A22" s="418"/>
      <c r="B22" s="234" t="s">
        <v>324</v>
      </c>
      <c r="C22" s="256"/>
      <c r="D22" s="256"/>
      <c r="E22" s="256"/>
      <c r="F22" s="256"/>
      <c r="G22" s="256"/>
      <c r="H22" s="329"/>
      <c r="I22" s="256"/>
      <c r="J22" s="256"/>
      <c r="K22" s="256"/>
      <c r="L22" s="256"/>
      <c r="M22" s="256"/>
      <c r="N22" s="256"/>
      <c r="O22" s="256">
        <f t="shared" si="0"/>
        <v>0</v>
      </c>
      <c r="P22" s="236">
        <f>O22/'CONSOLIDAÇÃO MENSAL FERMOJU 202'!$P$42</f>
        <v>0</v>
      </c>
    </row>
    <row r="23" spans="1:16" ht="14.4">
      <c r="A23" s="418"/>
      <c r="B23" s="234" t="s">
        <v>325</v>
      </c>
      <c r="C23" s="256"/>
      <c r="D23" s="256"/>
      <c r="E23" s="256"/>
      <c r="F23" s="256"/>
      <c r="G23" s="256"/>
      <c r="H23" s="329"/>
      <c r="I23" s="256"/>
      <c r="J23" s="256"/>
      <c r="K23" s="256"/>
      <c r="L23" s="256"/>
      <c r="M23" s="256"/>
      <c r="N23" s="256"/>
      <c r="O23" s="256">
        <f t="shared" si="0"/>
        <v>0</v>
      </c>
      <c r="P23" s="236">
        <f>O23/'CONSOLIDAÇÃO MENSAL FERMOJU 202'!$P$42</f>
        <v>0</v>
      </c>
    </row>
    <row r="24" spans="1:16" ht="14.4">
      <c r="A24" s="418"/>
      <c r="B24" s="234" t="s">
        <v>326</v>
      </c>
      <c r="C24" s="256"/>
      <c r="D24" s="256"/>
      <c r="E24" s="256"/>
      <c r="F24" s="256"/>
      <c r="G24" s="256"/>
      <c r="H24" s="329"/>
      <c r="I24" s="256"/>
      <c r="J24" s="256"/>
      <c r="K24" s="256"/>
      <c r="L24" s="256"/>
      <c r="M24" s="256"/>
      <c r="N24" s="256"/>
      <c r="O24" s="256">
        <f t="shared" si="0"/>
        <v>0</v>
      </c>
      <c r="P24" s="236">
        <f>O24/'CONSOLIDAÇÃO MENSAL FERMOJU 202'!$P$42</f>
        <v>0</v>
      </c>
    </row>
    <row r="25" spans="1:16" ht="14.4">
      <c r="A25" s="418"/>
      <c r="B25" s="234" t="s">
        <v>327</v>
      </c>
      <c r="C25" s="256"/>
      <c r="D25" s="256"/>
      <c r="E25" s="256"/>
      <c r="F25" s="256"/>
      <c r="G25" s="256"/>
      <c r="H25" s="329"/>
      <c r="I25" s="256"/>
      <c r="J25" s="256"/>
      <c r="K25" s="256"/>
      <c r="L25" s="256"/>
      <c r="M25" s="256"/>
      <c r="N25" s="256"/>
      <c r="O25" s="256">
        <f t="shared" si="0"/>
        <v>0</v>
      </c>
      <c r="P25" s="236">
        <f>O25/'CONSOLIDAÇÃO MENSAL FERMOJU 202'!$P$42</f>
        <v>0</v>
      </c>
    </row>
    <row r="26" spans="1:16" ht="14.4">
      <c r="A26" s="418"/>
      <c r="B26" s="234" t="s">
        <v>328</v>
      </c>
      <c r="C26" s="235">
        <v>227.72</v>
      </c>
      <c r="D26" s="235">
        <v>227.72</v>
      </c>
      <c r="E26" s="256">
        <v>227.72</v>
      </c>
      <c r="F26" s="256">
        <v>227.72</v>
      </c>
      <c r="G26" s="256">
        <v>227.72</v>
      </c>
      <c r="H26" s="256">
        <v>227.72</v>
      </c>
      <c r="I26" s="256">
        <v>227.72</v>
      </c>
      <c r="J26" s="256">
        <v>227.72</v>
      </c>
      <c r="K26" s="256"/>
      <c r="L26" s="256"/>
      <c r="M26" s="256"/>
      <c r="N26" s="256"/>
      <c r="O26" s="256">
        <f t="shared" si="0"/>
        <v>1821.76</v>
      </c>
      <c r="P26" s="236">
        <f>O26/'CONSOLIDAÇÃO MENSAL FERMOJU 202'!$P$42</f>
        <v>4.9793978705950163E-6</v>
      </c>
    </row>
    <row r="27" spans="1:16" ht="14.4">
      <c r="A27" s="418"/>
      <c r="B27" s="234" t="s">
        <v>329</v>
      </c>
      <c r="C27" s="256"/>
      <c r="D27" s="256"/>
      <c r="E27" s="256"/>
      <c r="F27" s="256"/>
      <c r="G27" s="256"/>
      <c r="H27" s="329"/>
      <c r="I27" s="256"/>
      <c r="J27" s="256"/>
      <c r="K27" s="256"/>
      <c r="L27" s="256"/>
      <c r="M27" s="256"/>
      <c r="N27" s="256"/>
      <c r="O27" s="256">
        <f t="shared" si="0"/>
        <v>0</v>
      </c>
      <c r="P27" s="236">
        <f>O27/'CONSOLIDAÇÃO MENSAL FERMOJU 202'!$P$42</f>
        <v>0</v>
      </c>
    </row>
    <row r="28" spans="1:16" ht="14.4">
      <c r="A28" s="418"/>
      <c r="B28" s="234" t="s">
        <v>330</v>
      </c>
      <c r="C28" s="256"/>
      <c r="D28" s="256"/>
      <c r="E28" s="256"/>
      <c r="F28" s="256"/>
      <c r="G28" s="256"/>
      <c r="H28" s="329"/>
      <c r="I28" s="256"/>
      <c r="J28" s="256"/>
      <c r="K28" s="256"/>
      <c r="L28" s="256"/>
      <c r="M28" s="256"/>
      <c r="N28" s="256"/>
      <c r="O28" s="256">
        <f t="shared" si="0"/>
        <v>0</v>
      </c>
      <c r="P28" s="236">
        <f>O28/'CONSOLIDAÇÃO MENSAL FERMOJU 202'!$P$42</f>
        <v>0</v>
      </c>
    </row>
    <row r="29" spans="1:16" ht="14.4">
      <c r="A29" s="418"/>
      <c r="B29" s="234" t="s">
        <v>331</v>
      </c>
      <c r="C29" s="256"/>
      <c r="D29" s="256"/>
      <c r="E29" s="256"/>
      <c r="F29" s="256"/>
      <c r="G29" s="256"/>
      <c r="H29" s="329"/>
      <c r="I29" s="256"/>
      <c r="J29" s="256"/>
      <c r="K29" s="256"/>
      <c r="L29" s="256"/>
      <c r="M29" s="256"/>
      <c r="N29" s="256"/>
      <c r="O29" s="256">
        <f t="shared" si="0"/>
        <v>0</v>
      </c>
      <c r="P29" s="236">
        <f>O29/'CONSOLIDAÇÃO MENSAL FERMOJU 202'!$P$42</f>
        <v>0</v>
      </c>
    </row>
    <row r="30" spans="1:16" ht="15.6">
      <c r="A30" s="418"/>
      <c r="B30" s="330"/>
      <c r="C30" s="330">
        <f t="shared" ref="C30:N30" si="1">SUM(C6:C29)</f>
        <v>378658.58</v>
      </c>
      <c r="D30" s="330">
        <f t="shared" si="1"/>
        <v>438337.6</v>
      </c>
      <c r="E30" s="330">
        <f t="shared" si="1"/>
        <v>545105.21</v>
      </c>
      <c r="F30" s="330">
        <f t="shared" si="1"/>
        <v>536189.96000000008</v>
      </c>
      <c r="G30" s="330">
        <f t="shared" si="1"/>
        <v>552379.37</v>
      </c>
      <c r="H30" s="330">
        <f t="shared" si="1"/>
        <v>602471.04999999993</v>
      </c>
      <c r="I30" s="330">
        <f t="shared" si="1"/>
        <v>617488.87999999989</v>
      </c>
      <c r="J30" s="330">
        <f t="shared" si="1"/>
        <v>557578.21</v>
      </c>
      <c r="K30" s="330">
        <f t="shared" si="1"/>
        <v>0</v>
      </c>
      <c r="L30" s="330">
        <f t="shared" si="1"/>
        <v>0</v>
      </c>
      <c r="M30" s="330">
        <f t="shared" si="1"/>
        <v>0</v>
      </c>
      <c r="N30" s="330">
        <f t="shared" si="1"/>
        <v>0</v>
      </c>
      <c r="O30" s="330">
        <f t="shared" si="0"/>
        <v>4228208.8599999994</v>
      </c>
      <c r="P30" s="255"/>
    </row>
    <row r="31" spans="1:16" ht="13.8">
      <c r="A31" s="419"/>
      <c r="B31" s="419"/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>
        <f t="shared" si="0"/>
        <v>0</v>
      </c>
      <c r="P31" s="419"/>
    </row>
    <row r="32" spans="1:16" ht="14.4">
      <c r="A32" s="414" t="s">
        <v>142</v>
      </c>
      <c r="B32" s="234" t="s">
        <v>297</v>
      </c>
      <c r="C32" s="331"/>
      <c r="D32" s="332"/>
      <c r="E32" s="248"/>
      <c r="F32" s="248"/>
      <c r="G32" s="248"/>
      <c r="H32" s="248"/>
      <c r="I32" s="248"/>
      <c r="J32" s="251"/>
      <c r="K32" s="251"/>
      <c r="L32" s="251"/>
      <c r="M32" s="248"/>
      <c r="N32" s="248"/>
      <c r="O32" s="248">
        <f t="shared" si="0"/>
        <v>0</v>
      </c>
      <c r="P32" s="236">
        <f>O32/'CONSOLIDAÇÃO MENSAL FERMOJU 202'!$P$42</f>
        <v>0</v>
      </c>
    </row>
    <row r="33" spans="1:16" ht="14.4">
      <c r="A33" s="414"/>
      <c r="B33" s="234" t="s">
        <v>298</v>
      </c>
      <c r="C33" s="331">
        <v>378835.11</v>
      </c>
      <c r="D33" s="331">
        <v>327536.71000000002</v>
      </c>
      <c r="E33" s="248">
        <v>398236.76</v>
      </c>
      <c r="F33" s="248">
        <v>357242.19</v>
      </c>
      <c r="G33" s="248">
        <v>353858.95</v>
      </c>
      <c r="H33" s="248">
        <v>370975</v>
      </c>
      <c r="I33" s="248">
        <v>403533.51</v>
      </c>
      <c r="J33" s="248"/>
      <c r="K33" s="251"/>
      <c r="L33" s="251"/>
      <c r="M33" s="248"/>
      <c r="N33" s="248"/>
      <c r="O33" s="248">
        <f t="shared" si="0"/>
        <v>2590218.2299999995</v>
      </c>
      <c r="P33" s="236">
        <f>O33/'CONSOLIDAÇÃO MENSAL FERMOJU 202'!$P$42</f>
        <v>7.0798168468065997E-3</v>
      </c>
    </row>
    <row r="34" spans="1:16" ht="14.4">
      <c r="A34" s="414"/>
      <c r="B34" s="234" t="s">
        <v>299</v>
      </c>
      <c r="C34" s="331"/>
      <c r="D34" s="331"/>
      <c r="E34" s="248"/>
      <c r="F34" s="248"/>
      <c r="G34" s="248"/>
      <c r="H34" s="248"/>
      <c r="I34" s="248"/>
      <c r="J34" s="248"/>
      <c r="K34" s="251"/>
      <c r="L34" s="248"/>
      <c r="M34" s="248"/>
      <c r="N34" s="248"/>
      <c r="O34" s="248">
        <f t="shared" si="0"/>
        <v>0</v>
      </c>
      <c r="P34" s="236">
        <f>O34/'CONSOLIDAÇÃO MENSAL FERMOJU 202'!$P$42</f>
        <v>0</v>
      </c>
    </row>
    <row r="35" spans="1:16" ht="14.4">
      <c r="A35" s="414"/>
      <c r="B35" s="234" t="s">
        <v>300</v>
      </c>
      <c r="C35" s="331"/>
      <c r="D35" s="331"/>
      <c r="E35" s="248"/>
      <c r="F35" s="248"/>
      <c r="G35" s="248"/>
      <c r="H35" s="248"/>
      <c r="I35" s="248"/>
      <c r="J35" s="248"/>
      <c r="K35" s="251"/>
      <c r="L35" s="248"/>
      <c r="M35" s="248"/>
      <c r="N35" s="248"/>
      <c r="O35" s="248">
        <f t="shared" si="0"/>
        <v>0</v>
      </c>
      <c r="P35" s="236"/>
    </row>
    <row r="36" spans="1:16" ht="14.4">
      <c r="A36" s="414"/>
      <c r="B36" s="234" t="s">
        <v>301</v>
      </c>
      <c r="C36" s="333"/>
      <c r="D36" s="331"/>
      <c r="E36" s="248"/>
      <c r="F36" s="248"/>
      <c r="G36" s="248"/>
      <c r="H36" s="248"/>
      <c r="I36" s="248"/>
      <c r="J36" s="248"/>
      <c r="K36" s="251"/>
      <c r="L36" s="248"/>
      <c r="M36" s="248"/>
      <c r="N36" s="248"/>
      <c r="O36" s="248">
        <f t="shared" si="0"/>
        <v>0</v>
      </c>
      <c r="P36" s="236">
        <f>O36/'CONSOLIDAÇÃO MENSAL FERMOJU 202'!$P$42</f>
        <v>0</v>
      </c>
    </row>
    <row r="37" spans="1:16" ht="14.4">
      <c r="A37" s="414"/>
      <c r="B37" s="234" t="s">
        <v>332</v>
      </c>
      <c r="C37" s="333"/>
      <c r="D37" s="331"/>
      <c r="E37" s="248"/>
      <c r="F37" s="248"/>
      <c r="G37" s="248"/>
      <c r="H37" s="248"/>
      <c r="I37" s="248"/>
      <c r="J37" s="248"/>
      <c r="K37" s="251"/>
      <c r="L37" s="248"/>
      <c r="M37" s="248"/>
      <c r="N37" s="248"/>
      <c r="O37" s="248">
        <f t="shared" si="0"/>
        <v>0</v>
      </c>
      <c r="P37" s="236"/>
    </row>
    <row r="38" spans="1:16" ht="15.6">
      <c r="A38" s="414"/>
      <c r="B38" s="253" t="s">
        <v>148</v>
      </c>
      <c r="C38" s="254">
        <f>SUM(C32:C36)</f>
        <v>378835.11</v>
      </c>
      <c r="D38" s="254">
        <f>SUM(D32:D37)</f>
        <v>327536.71000000002</v>
      </c>
      <c r="E38" s="254">
        <f t="shared" ref="E38:N38" si="2">SUM(E32:E36)</f>
        <v>398236.76</v>
      </c>
      <c r="F38" s="254">
        <f t="shared" si="2"/>
        <v>357242.19</v>
      </c>
      <c r="G38" s="254">
        <f t="shared" si="2"/>
        <v>353858.95</v>
      </c>
      <c r="H38" s="254">
        <f t="shared" si="2"/>
        <v>370975</v>
      </c>
      <c r="I38" s="254">
        <f t="shared" si="2"/>
        <v>403533.51</v>
      </c>
      <c r="J38" s="254">
        <f t="shared" si="2"/>
        <v>0</v>
      </c>
      <c r="K38" s="254">
        <f t="shared" si="2"/>
        <v>0</v>
      </c>
      <c r="L38" s="254">
        <f t="shared" si="2"/>
        <v>0</v>
      </c>
      <c r="M38" s="254">
        <f t="shared" si="2"/>
        <v>0</v>
      </c>
      <c r="N38" s="254">
        <f t="shared" si="2"/>
        <v>0</v>
      </c>
      <c r="O38" s="254">
        <f t="shared" si="0"/>
        <v>2590218.2299999995</v>
      </c>
      <c r="P38" s="255">
        <f>SUM(P32:P36)</f>
        <v>7.0798168468065997E-3</v>
      </c>
    </row>
    <row r="39" spans="1:16" ht="14.4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48"/>
      <c r="P39" s="13"/>
    </row>
    <row r="40" spans="1:16" ht="17.399999999999999">
      <c r="A40" s="2"/>
      <c r="B40" s="415" t="s">
        <v>333</v>
      </c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>
        <f>SUM(C40+D40+E40+F40+G40+H40+I40+J40+K40+L40+M40+N40)</f>
        <v>0</v>
      </c>
      <c r="P40" s="415"/>
    </row>
    <row r="41" spans="1:16" ht="17.399999999999999">
      <c r="A41" s="2"/>
      <c r="B41" s="257" t="s">
        <v>150</v>
      </c>
      <c r="C41" s="258">
        <f t="shared" ref="C41:N41" si="3">C30+C38</f>
        <v>757493.69</v>
      </c>
      <c r="D41" s="258">
        <f t="shared" si="3"/>
        <v>765874.31</v>
      </c>
      <c r="E41" s="258">
        <f t="shared" si="3"/>
        <v>943341.97</v>
      </c>
      <c r="F41" s="258">
        <f t="shared" si="3"/>
        <v>893432.15000000014</v>
      </c>
      <c r="G41" s="258">
        <f t="shared" si="3"/>
        <v>906238.32000000007</v>
      </c>
      <c r="H41" s="258">
        <f t="shared" si="3"/>
        <v>973446.04999999993</v>
      </c>
      <c r="I41" s="258">
        <f t="shared" si="3"/>
        <v>1021022.3899999999</v>
      </c>
      <c r="J41" s="258">
        <f t="shared" si="3"/>
        <v>557578.21</v>
      </c>
      <c r="K41" s="258">
        <f t="shared" si="3"/>
        <v>0</v>
      </c>
      <c r="L41" s="258">
        <f t="shared" si="3"/>
        <v>0</v>
      </c>
      <c r="M41" s="258">
        <f t="shared" si="3"/>
        <v>0</v>
      </c>
      <c r="N41" s="258">
        <f t="shared" si="3"/>
        <v>0</v>
      </c>
      <c r="O41" s="258">
        <f>SUM(C41+D41+E41+F41+G41+H41+I41+J41+K41+L41+M41+N41)</f>
        <v>6818427.0899999999</v>
      </c>
      <c r="P41" s="259">
        <f>P30+P38</f>
        <v>7.0798168468065997E-3</v>
      </c>
    </row>
    <row r="42" spans="1:16" ht="13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</sheetData>
  <mergeCells count="7">
    <mergeCell ref="A32:A38"/>
    <mergeCell ref="B40:P40"/>
    <mergeCell ref="B2:O2"/>
    <mergeCell ref="B3:O3"/>
    <mergeCell ref="B5:O5"/>
    <mergeCell ref="A6:A30"/>
    <mergeCell ref="A31:P3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topLeftCell="B1" zoomScaleNormal="100" workbookViewId="0">
      <selection activeCell="J7" sqref="J7"/>
    </sheetView>
  </sheetViews>
  <sheetFormatPr defaultColWidth="11.5546875" defaultRowHeight="12.75" customHeight="1"/>
  <cols>
    <col min="2" max="2" width="91" customWidth="1"/>
    <col min="3" max="3" width="14.109375" customWidth="1"/>
    <col min="4" max="4" width="14.33203125" customWidth="1"/>
    <col min="5" max="5" width="15.33203125" customWidth="1"/>
    <col min="6" max="6" width="14.88671875" customWidth="1"/>
    <col min="7" max="7" width="15.109375" customWidth="1"/>
    <col min="8" max="8" width="14.44140625" customWidth="1"/>
    <col min="9" max="9" width="14.109375" customWidth="1"/>
    <col min="10" max="10" width="16.109375" customWidth="1"/>
    <col min="11" max="11" width="14.33203125" customWidth="1"/>
    <col min="12" max="12" width="15" customWidth="1"/>
    <col min="13" max="13" width="14.109375" customWidth="1"/>
    <col min="14" max="14" width="14.5546875" customWidth="1"/>
    <col min="15" max="15" width="17.5546875" customWidth="1"/>
  </cols>
  <sheetData>
    <row r="1" spans="1:16" ht="13.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399999999999999">
      <c r="A2" s="70"/>
      <c r="B2" s="409" t="s">
        <v>111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228"/>
    </row>
    <row r="3" spans="1:16" ht="17.399999999999999">
      <c r="A3" s="70"/>
      <c r="B3" s="416" t="s">
        <v>334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228"/>
    </row>
    <row r="4" spans="1:16" ht="78">
      <c r="A4" s="325"/>
      <c r="B4" s="326"/>
      <c r="C4" s="327" t="s">
        <v>113</v>
      </c>
      <c r="D4" s="327" t="s">
        <v>114</v>
      </c>
      <c r="E4" s="327" t="s">
        <v>115</v>
      </c>
      <c r="F4" s="327" t="s">
        <v>116</v>
      </c>
      <c r="G4" s="327" t="s">
        <v>117</v>
      </c>
      <c r="H4" s="231" t="s">
        <v>118</v>
      </c>
      <c r="I4" s="231" t="s">
        <v>119</v>
      </c>
      <c r="J4" s="231" t="s">
        <v>120</v>
      </c>
      <c r="K4" s="231" t="s">
        <v>121</v>
      </c>
      <c r="L4" s="231" t="s">
        <v>122</v>
      </c>
      <c r="M4" s="231" t="s">
        <v>123</v>
      </c>
      <c r="N4" s="231" t="s">
        <v>124</v>
      </c>
      <c r="O4" s="233" t="s">
        <v>12</v>
      </c>
      <c r="P4" s="233" t="s">
        <v>125</v>
      </c>
    </row>
    <row r="5" spans="1:16" ht="18" customHeight="1">
      <c r="A5" s="325"/>
      <c r="B5" s="420" t="s">
        <v>270</v>
      </c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0"/>
      <c r="O5" s="420"/>
      <c r="P5" s="328"/>
    </row>
    <row r="6" spans="1:16" ht="14.4">
      <c r="A6" s="418" t="s">
        <v>10</v>
      </c>
      <c r="B6" s="234" t="s">
        <v>335</v>
      </c>
      <c r="C6" s="235">
        <v>334422.25</v>
      </c>
      <c r="D6" s="235">
        <v>368398.31</v>
      </c>
      <c r="E6" s="235">
        <v>436896.07</v>
      </c>
      <c r="F6" s="235">
        <v>417860.33</v>
      </c>
      <c r="G6" s="235">
        <v>472151.16</v>
      </c>
      <c r="H6" s="334">
        <v>497436.51</v>
      </c>
      <c r="I6" s="235">
        <v>525433.9</v>
      </c>
      <c r="J6" s="256">
        <v>471772.48</v>
      </c>
      <c r="K6" s="256"/>
      <c r="L6" s="235"/>
      <c r="M6" s="235"/>
      <c r="N6" s="235"/>
      <c r="O6" s="256">
        <f t="shared" ref="O6:O40" si="0">SUM(C6+D6+E6+F6+G6+H6+I6+J6+K6+L6+M6+N6)</f>
        <v>3524371.01</v>
      </c>
      <c r="P6" s="236">
        <f>O6/'CONSOLIDAÇÃO MENSAL FERMOJU 202'!$P$42</f>
        <v>9.6331270323098579E-3</v>
      </c>
    </row>
    <row r="7" spans="1:16" ht="14.4">
      <c r="A7" s="418"/>
      <c r="B7" s="234" t="s">
        <v>336</v>
      </c>
      <c r="C7" s="235"/>
      <c r="D7" s="235"/>
      <c r="E7" s="235"/>
      <c r="F7" s="235"/>
      <c r="G7" s="235"/>
      <c r="H7" s="235"/>
      <c r="I7" s="256"/>
      <c r="J7" s="256"/>
      <c r="K7" s="256"/>
      <c r="L7" s="235"/>
      <c r="M7" s="235"/>
      <c r="N7" s="235"/>
      <c r="O7" s="256">
        <f t="shared" si="0"/>
        <v>0</v>
      </c>
      <c r="P7" s="236">
        <f>O7/'CONSOLIDAÇÃO MENSAL FERMOJU 202'!$P$42</f>
        <v>0</v>
      </c>
    </row>
    <row r="8" spans="1:16" ht="14.4">
      <c r="A8" s="418"/>
      <c r="B8" s="234" t="s">
        <v>337</v>
      </c>
      <c r="C8" s="235"/>
      <c r="D8" s="235"/>
      <c r="E8" s="235"/>
      <c r="F8" s="235"/>
      <c r="G8" s="235"/>
      <c r="H8" s="235"/>
      <c r="I8" s="235"/>
      <c r="J8" s="256"/>
      <c r="K8" s="256"/>
      <c r="L8" s="235"/>
      <c r="M8" s="235"/>
      <c r="N8" s="235"/>
      <c r="O8" s="256">
        <f t="shared" si="0"/>
        <v>0</v>
      </c>
      <c r="P8" s="236">
        <f>O8/'CONSOLIDAÇÃO MENSAL FERMOJU 202'!$P$42</f>
        <v>0</v>
      </c>
    </row>
    <row r="9" spans="1:16" ht="14.4">
      <c r="A9" s="418"/>
      <c r="B9" s="234" t="s">
        <v>338</v>
      </c>
      <c r="C9" s="235"/>
      <c r="D9" s="235"/>
      <c r="E9" s="235"/>
      <c r="F9" s="235"/>
      <c r="G9" s="235"/>
      <c r="H9" s="235"/>
      <c r="I9" s="235"/>
      <c r="J9" s="256"/>
      <c r="K9" s="235"/>
      <c r="L9" s="235"/>
      <c r="M9" s="256"/>
      <c r="N9" s="235"/>
      <c r="O9" s="256">
        <f t="shared" si="0"/>
        <v>0</v>
      </c>
      <c r="P9" s="236">
        <f>O9/'CONSOLIDAÇÃO MENSAL FERMOJU 202'!$P$42</f>
        <v>0</v>
      </c>
    </row>
    <row r="10" spans="1:16" ht="14.4">
      <c r="A10" s="418"/>
      <c r="B10" s="234" t="s">
        <v>339</v>
      </c>
      <c r="C10" s="235"/>
      <c r="D10" s="235"/>
      <c r="E10" s="235"/>
      <c r="F10" s="235"/>
      <c r="G10" s="235"/>
      <c r="H10" s="235"/>
      <c r="I10" s="256"/>
      <c r="J10" s="256"/>
      <c r="K10" s="256"/>
      <c r="L10" s="235"/>
      <c r="M10" s="256"/>
      <c r="N10" s="235"/>
      <c r="O10" s="256">
        <f t="shared" si="0"/>
        <v>0</v>
      </c>
      <c r="P10" s="236">
        <f>O10/'CONSOLIDAÇÃO MENSAL FERMOJU 202'!$P$42</f>
        <v>0</v>
      </c>
    </row>
    <row r="11" spans="1:16" ht="14.4">
      <c r="A11" s="418"/>
      <c r="B11" s="234" t="s">
        <v>340</v>
      </c>
      <c r="C11" s="235"/>
      <c r="D11" s="235"/>
      <c r="E11" s="235"/>
      <c r="F11" s="235"/>
      <c r="G11" s="235"/>
      <c r="H11" s="235"/>
      <c r="I11" s="235"/>
      <c r="J11" s="256"/>
      <c r="K11" s="235"/>
      <c r="L11" s="235"/>
      <c r="M11" s="256"/>
      <c r="N11" s="235"/>
      <c r="O11" s="256">
        <f t="shared" si="0"/>
        <v>0</v>
      </c>
      <c r="P11" s="236">
        <f>O11/'CONSOLIDAÇÃO MENSAL FERMOJU 202'!$P$42</f>
        <v>0</v>
      </c>
    </row>
    <row r="12" spans="1:16" ht="14.4">
      <c r="A12" s="418"/>
      <c r="B12" s="234" t="s">
        <v>341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56">
        <f t="shared" si="0"/>
        <v>0</v>
      </c>
      <c r="P12" s="236">
        <f>O12/'CONSOLIDAÇÃO MENSAL FERMOJU 202'!$P$42</f>
        <v>0</v>
      </c>
    </row>
    <row r="13" spans="1:16" ht="14.4">
      <c r="A13" s="418"/>
      <c r="B13" s="234" t="s">
        <v>342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56">
        <f t="shared" si="0"/>
        <v>0</v>
      </c>
      <c r="P13" s="236">
        <f>O13/'CONSOLIDAÇÃO MENSAL FERMOJU 202'!$P$42</f>
        <v>0</v>
      </c>
    </row>
    <row r="14" spans="1:16" ht="14.4">
      <c r="A14" s="418"/>
      <c r="B14" s="234" t="s">
        <v>343</v>
      </c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56">
        <f t="shared" si="0"/>
        <v>0</v>
      </c>
      <c r="P14" s="236">
        <f>O14/'CONSOLIDAÇÃO MENSAL FERMOJU 202'!$P$42</f>
        <v>0</v>
      </c>
    </row>
    <row r="15" spans="1:16" ht="14.4">
      <c r="A15" s="418"/>
      <c r="B15" s="234" t="s">
        <v>344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56">
        <f t="shared" si="0"/>
        <v>0</v>
      </c>
      <c r="P15" s="236">
        <f>O15/'CONSOLIDAÇÃO MENSAL FERMOJU 202'!$P$42</f>
        <v>0</v>
      </c>
    </row>
    <row r="16" spans="1:16" ht="14.4">
      <c r="A16" s="418"/>
      <c r="B16" s="234" t="s">
        <v>345</v>
      </c>
      <c r="C16" s="235"/>
      <c r="D16" s="235"/>
      <c r="E16" s="235"/>
      <c r="F16" s="235"/>
      <c r="G16" s="235"/>
      <c r="H16" s="235"/>
      <c r="I16" s="235"/>
      <c r="J16" s="256"/>
      <c r="K16" s="256"/>
      <c r="L16" s="235"/>
      <c r="M16" s="235"/>
      <c r="N16" s="235"/>
      <c r="O16" s="256">
        <f t="shared" si="0"/>
        <v>0</v>
      </c>
      <c r="P16" s="236">
        <f>O16/'CONSOLIDAÇÃO MENSAL FERMOJU 202'!$P$42</f>
        <v>0</v>
      </c>
    </row>
    <row r="17" spans="1:16" ht="14.4">
      <c r="A17" s="418"/>
      <c r="B17" s="234" t="s">
        <v>346</v>
      </c>
      <c r="C17" s="235"/>
      <c r="D17" s="235"/>
      <c r="E17" s="235"/>
      <c r="F17" s="235"/>
      <c r="G17" s="235"/>
      <c r="H17" s="235"/>
      <c r="I17" s="235"/>
      <c r="J17" s="256"/>
      <c r="K17" s="235"/>
      <c r="L17" s="235"/>
      <c r="M17" s="235"/>
      <c r="N17" s="235"/>
      <c r="O17" s="256">
        <f t="shared" si="0"/>
        <v>0</v>
      </c>
      <c r="P17" s="236">
        <f>O17/'CONSOLIDAÇÃO MENSAL FERMOJU 202'!$P$42</f>
        <v>0</v>
      </c>
    </row>
    <row r="18" spans="1:16" ht="14.4">
      <c r="A18" s="418"/>
      <c r="B18" s="234" t="s">
        <v>347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56">
        <f t="shared" si="0"/>
        <v>0</v>
      </c>
      <c r="P18" s="236">
        <f>O18/'CONSOLIDAÇÃO MENSAL FERMOJU 202'!$P$42</f>
        <v>0</v>
      </c>
    </row>
    <row r="19" spans="1:16" ht="14.4">
      <c r="A19" s="418"/>
      <c r="B19" s="234" t="s">
        <v>343</v>
      </c>
      <c r="C19" s="235"/>
      <c r="D19" s="235"/>
      <c r="E19" s="235"/>
      <c r="F19" s="235"/>
      <c r="G19" s="235"/>
      <c r="H19" s="235"/>
      <c r="I19" s="235"/>
      <c r="J19" s="256"/>
      <c r="K19" s="256"/>
      <c r="L19" s="235"/>
      <c r="M19" s="235"/>
      <c r="N19" s="235"/>
      <c r="O19" s="256">
        <f t="shared" si="0"/>
        <v>0</v>
      </c>
      <c r="P19" s="236">
        <f>O19/'CONSOLIDAÇÃO MENSAL FERMOJU 202'!$P$42</f>
        <v>0</v>
      </c>
    </row>
    <row r="20" spans="1:16" ht="14.4">
      <c r="A20" s="418"/>
      <c r="B20" s="234" t="s">
        <v>137</v>
      </c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56">
        <f t="shared" si="0"/>
        <v>0</v>
      </c>
      <c r="P20" s="236">
        <f>O20/'CONSOLIDAÇÃO MENSAL FERMOJU 202'!$P$42</f>
        <v>0</v>
      </c>
    </row>
    <row r="21" spans="1:16" ht="14.4">
      <c r="A21" s="418"/>
      <c r="B21" s="234" t="s">
        <v>138</v>
      </c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56">
        <f t="shared" si="0"/>
        <v>0</v>
      </c>
      <c r="P21" s="236">
        <f>O21/'CONSOLIDAÇÃO MENSAL FERMOJU 202'!$P$42</f>
        <v>0</v>
      </c>
    </row>
    <row r="22" spans="1:16" ht="14.4">
      <c r="A22" s="418"/>
      <c r="B22" s="234" t="s">
        <v>348</v>
      </c>
      <c r="C22" s="235"/>
      <c r="D22" s="235"/>
      <c r="E22" s="235"/>
      <c r="F22" s="235"/>
      <c r="G22" s="235"/>
      <c r="H22" s="235"/>
      <c r="I22" s="235"/>
      <c r="J22" s="235"/>
      <c r="K22" s="256"/>
      <c r="L22" s="235"/>
      <c r="M22" s="235"/>
      <c r="N22" s="235"/>
      <c r="O22" s="256">
        <f t="shared" si="0"/>
        <v>0</v>
      </c>
      <c r="P22" s="236">
        <f>O22/'CONSOLIDAÇÃO MENSAL FERMOJU 202'!$P$42</f>
        <v>0</v>
      </c>
    </row>
    <row r="23" spans="1:16" ht="14.4">
      <c r="A23" s="418"/>
      <c r="B23" s="234" t="s">
        <v>349</v>
      </c>
      <c r="C23" s="235"/>
      <c r="D23" s="235"/>
      <c r="E23" s="235"/>
      <c r="F23" s="235"/>
      <c r="G23" s="235"/>
      <c r="H23" s="235"/>
      <c r="I23" s="235"/>
      <c r="J23" s="235"/>
      <c r="K23" s="256"/>
      <c r="L23" s="235"/>
      <c r="M23" s="235"/>
      <c r="N23" s="235"/>
      <c r="O23" s="256">
        <f t="shared" si="0"/>
        <v>0</v>
      </c>
      <c r="P23" s="236">
        <f>O23/'CONSOLIDAÇÃO MENSAL FERMOJU 202'!$P$42</f>
        <v>0</v>
      </c>
    </row>
    <row r="24" spans="1:16" ht="14.4">
      <c r="A24" s="418"/>
      <c r="B24" s="234" t="s">
        <v>350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56">
        <f t="shared" si="0"/>
        <v>0</v>
      </c>
      <c r="P24" s="236">
        <f>O24/'CONSOLIDAÇÃO MENSAL FERMOJU 202'!$P$42</f>
        <v>0</v>
      </c>
    </row>
    <row r="25" spans="1:16" ht="14.4">
      <c r="A25" s="418"/>
      <c r="B25" s="234" t="s">
        <v>351</v>
      </c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56">
        <f t="shared" si="0"/>
        <v>0</v>
      </c>
      <c r="P25" s="236">
        <f>O25/'CONSOLIDAÇÃO MENSAL FERMOJU 202'!$P$42</f>
        <v>0</v>
      </c>
    </row>
    <row r="26" spans="1:16" ht="14.4">
      <c r="A26" s="418"/>
      <c r="B26" s="234" t="s">
        <v>352</v>
      </c>
      <c r="C26" s="235"/>
      <c r="D26" s="235"/>
      <c r="E26" s="235"/>
      <c r="F26" s="235"/>
      <c r="G26" s="235"/>
      <c r="H26" s="235"/>
      <c r="I26" s="235"/>
      <c r="J26" s="256"/>
      <c r="K26" s="256"/>
      <c r="L26" s="256"/>
      <c r="M26" s="235"/>
      <c r="N26" s="235"/>
      <c r="O26" s="256">
        <f t="shared" si="0"/>
        <v>0</v>
      </c>
      <c r="P26" s="236">
        <f>O26/'CONSOLIDAÇÃO MENSAL FERMOJU 202'!$P$42</f>
        <v>0</v>
      </c>
    </row>
    <row r="27" spans="1:16" ht="14.4">
      <c r="A27" s="418"/>
      <c r="B27" s="234" t="s">
        <v>353</v>
      </c>
      <c r="C27" s="235"/>
      <c r="D27" s="235"/>
      <c r="E27" s="235"/>
      <c r="F27" s="235"/>
      <c r="G27" s="235">
        <f>'1__POR_RECEITA_DETALHADA'!K134</f>
        <v>0</v>
      </c>
      <c r="H27" s="235"/>
      <c r="I27" s="235"/>
      <c r="J27" s="235"/>
      <c r="K27" s="235"/>
      <c r="L27" s="235"/>
      <c r="M27" s="235"/>
      <c r="N27" s="235"/>
      <c r="O27" s="256">
        <f t="shared" si="0"/>
        <v>0</v>
      </c>
      <c r="P27" s="236">
        <f>O27/'CONSOLIDAÇÃO MENSAL FERMOJU 202'!$P$42</f>
        <v>0</v>
      </c>
    </row>
    <row r="28" spans="1:16" ht="14.4">
      <c r="A28" s="418"/>
      <c r="B28" s="234" t="s">
        <v>354</v>
      </c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56">
        <f t="shared" si="0"/>
        <v>0</v>
      </c>
      <c r="P28" s="236">
        <f>O28/'CONSOLIDAÇÃO MENSAL FERMOJU 202'!$P$42</f>
        <v>0</v>
      </c>
    </row>
    <row r="29" spans="1:16" ht="14.4">
      <c r="A29" s="418"/>
      <c r="B29" s="234" t="s">
        <v>355</v>
      </c>
      <c r="C29" s="235"/>
      <c r="D29" s="235"/>
      <c r="E29" s="235"/>
      <c r="F29" s="235"/>
      <c r="G29" s="235">
        <f>'1__POR_RECEITA_DETALHADA'!G78</f>
        <v>0</v>
      </c>
      <c r="H29" s="235"/>
      <c r="I29" s="235"/>
      <c r="J29" s="235"/>
      <c r="K29" s="256"/>
      <c r="L29" s="235"/>
      <c r="M29" s="235"/>
      <c r="N29" s="235"/>
      <c r="O29" s="256">
        <f t="shared" si="0"/>
        <v>0</v>
      </c>
      <c r="P29" s="236">
        <f>O29/'CONSOLIDAÇÃO MENSAL FERMOJU 202'!$P$42</f>
        <v>0</v>
      </c>
    </row>
    <row r="30" spans="1:16" ht="15.6">
      <c r="A30" s="418"/>
      <c r="B30" s="240">
        <f t="shared" ref="B30:N30" si="1">SUM(B6:B29)</f>
        <v>0</v>
      </c>
      <c r="C30" s="240">
        <f t="shared" si="1"/>
        <v>334422.25</v>
      </c>
      <c r="D30" s="240">
        <f t="shared" si="1"/>
        <v>368398.31</v>
      </c>
      <c r="E30" s="240">
        <f t="shared" si="1"/>
        <v>436896.07</v>
      </c>
      <c r="F30" s="240">
        <f t="shared" si="1"/>
        <v>417860.33</v>
      </c>
      <c r="G30" s="240">
        <f t="shared" si="1"/>
        <v>472151.16</v>
      </c>
      <c r="H30" s="240">
        <f t="shared" si="1"/>
        <v>497436.51</v>
      </c>
      <c r="I30" s="240">
        <f t="shared" si="1"/>
        <v>525433.9</v>
      </c>
      <c r="J30" s="240">
        <f t="shared" si="1"/>
        <v>471772.48</v>
      </c>
      <c r="K30" s="240">
        <f t="shared" si="1"/>
        <v>0</v>
      </c>
      <c r="L30" s="240">
        <f t="shared" si="1"/>
        <v>0</v>
      </c>
      <c r="M30" s="240">
        <f t="shared" si="1"/>
        <v>0</v>
      </c>
      <c r="N30" s="240">
        <f t="shared" si="1"/>
        <v>0</v>
      </c>
      <c r="O30" s="240">
        <f t="shared" si="0"/>
        <v>3524371.01</v>
      </c>
      <c r="P30" s="335">
        <f>O30/'CONSOLIDAÇÃO MENSAL FERMOJU 202'!$P$42</f>
        <v>9.6331270323098579E-3</v>
      </c>
    </row>
    <row r="31" spans="1:16" ht="13.8">
      <c r="A31" s="419"/>
      <c r="B31" s="419"/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>
        <f t="shared" si="0"/>
        <v>0</v>
      </c>
      <c r="P31" s="419">
        <f>O31/'CONSOLIDAÇÃO MENSAL FERMOJU 202'!$P$42</f>
        <v>0</v>
      </c>
    </row>
    <row r="32" spans="1:16" ht="14.4">
      <c r="A32" s="414" t="s">
        <v>142</v>
      </c>
      <c r="B32" s="234" t="s">
        <v>297</v>
      </c>
      <c r="C32" s="331"/>
      <c r="D32" s="332"/>
      <c r="E32" s="248"/>
      <c r="F32" s="248"/>
      <c r="G32" s="248"/>
      <c r="H32" s="248"/>
      <c r="I32" s="248"/>
      <c r="J32" s="251"/>
      <c r="K32" s="251"/>
      <c r="L32" s="251"/>
      <c r="M32" s="248"/>
      <c r="N32" s="248"/>
      <c r="O32" s="256">
        <f t="shared" si="0"/>
        <v>0</v>
      </c>
      <c r="P32" s="236">
        <f>O32/'CONSOLIDAÇÃO MENSAL FERMOJU 202'!$P$42</f>
        <v>0</v>
      </c>
    </row>
    <row r="33" spans="1:16" ht="14.4">
      <c r="A33" s="414"/>
      <c r="B33" s="234" t="s">
        <v>298</v>
      </c>
      <c r="C33" s="331">
        <v>31936.93</v>
      </c>
      <c r="D33" s="331">
        <v>29114.06</v>
      </c>
      <c r="E33" s="248">
        <v>35179.86</v>
      </c>
      <c r="F33" s="248">
        <v>32471.62</v>
      </c>
      <c r="G33" s="248">
        <v>32410.5</v>
      </c>
      <c r="H33" s="248">
        <v>33299.86</v>
      </c>
      <c r="I33" s="248">
        <v>37420.550000000003</v>
      </c>
      <c r="J33" s="248"/>
      <c r="K33" s="248"/>
      <c r="L33" s="248"/>
      <c r="M33" s="248"/>
      <c r="N33" s="248"/>
      <c r="O33" s="256">
        <f t="shared" si="0"/>
        <v>231833.38</v>
      </c>
      <c r="P33" s="236">
        <f>O33/'CONSOLIDAÇÃO MENSAL FERMOJU 202'!$P$42</f>
        <v>6.3366779307090135E-4</v>
      </c>
    </row>
    <row r="34" spans="1:16" ht="14.4">
      <c r="A34" s="414"/>
      <c r="B34" s="234" t="s">
        <v>299</v>
      </c>
      <c r="C34" s="331"/>
      <c r="D34" s="331"/>
      <c r="E34" s="248"/>
      <c r="F34" s="248"/>
      <c r="G34" s="248"/>
      <c r="H34" s="248"/>
      <c r="I34" s="248"/>
      <c r="J34" s="248"/>
      <c r="K34" s="251"/>
      <c r="L34" s="248"/>
      <c r="M34" s="248"/>
      <c r="N34" s="248"/>
      <c r="O34" s="256">
        <f t="shared" si="0"/>
        <v>0</v>
      </c>
      <c r="P34" s="236">
        <f>O34/'CONSOLIDAÇÃO MENSAL FERMOJU 202'!$P$42</f>
        <v>0</v>
      </c>
    </row>
    <row r="35" spans="1:16" ht="14.4">
      <c r="A35" s="414"/>
      <c r="B35" s="234" t="s">
        <v>300</v>
      </c>
      <c r="C35" s="331"/>
      <c r="D35" s="331"/>
      <c r="E35" s="248"/>
      <c r="F35" s="248"/>
      <c r="G35" s="248"/>
      <c r="H35" s="248"/>
      <c r="I35" s="248"/>
      <c r="J35" s="248"/>
      <c r="K35" s="251"/>
      <c r="L35" s="248"/>
      <c r="M35" s="248"/>
      <c r="N35" s="248"/>
      <c r="O35" s="256">
        <f t="shared" si="0"/>
        <v>0</v>
      </c>
      <c r="P35" s="236">
        <f>O35/'CONSOLIDAÇÃO MENSAL FERMOJU 202'!$P$42</f>
        <v>0</v>
      </c>
    </row>
    <row r="36" spans="1:16" ht="14.4">
      <c r="A36" s="414"/>
      <c r="B36" s="234" t="s">
        <v>301</v>
      </c>
      <c r="C36" s="333"/>
      <c r="D36" s="331"/>
      <c r="E36" s="248"/>
      <c r="F36" s="248"/>
      <c r="G36" s="248"/>
      <c r="H36" s="248"/>
      <c r="I36" s="248"/>
      <c r="J36" s="248"/>
      <c r="K36" s="251"/>
      <c r="L36" s="248"/>
      <c r="M36" s="248"/>
      <c r="N36" s="248"/>
      <c r="O36" s="256">
        <f t="shared" si="0"/>
        <v>0</v>
      </c>
      <c r="P36" s="236">
        <f>O36/'CONSOLIDAÇÃO MENSAL FERMOJU 202'!$P$42</f>
        <v>0</v>
      </c>
    </row>
    <row r="37" spans="1:16" ht="15.6">
      <c r="A37" s="414"/>
      <c r="B37" s="253" t="s">
        <v>148</v>
      </c>
      <c r="C37" s="254">
        <f t="shared" ref="C37:N37" si="2">SUM(C32:C36)</f>
        <v>31936.93</v>
      </c>
      <c r="D37" s="254">
        <f t="shared" si="2"/>
        <v>29114.06</v>
      </c>
      <c r="E37" s="254">
        <f t="shared" si="2"/>
        <v>35179.86</v>
      </c>
      <c r="F37" s="254">
        <f t="shared" si="2"/>
        <v>32471.62</v>
      </c>
      <c r="G37" s="254">
        <f t="shared" si="2"/>
        <v>32410.5</v>
      </c>
      <c r="H37" s="254">
        <f t="shared" si="2"/>
        <v>33299.86</v>
      </c>
      <c r="I37" s="254">
        <f t="shared" si="2"/>
        <v>37420.550000000003</v>
      </c>
      <c r="J37" s="254">
        <f t="shared" si="2"/>
        <v>0</v>
      </c>
      <c r="K37" s="254">
        <f t="shared" si="2"/>
        <v>0</v>
      </c>
      <c r="L37" s="254">
        <f t="shared" si="2"/>
        <v>0</v>
      </c>
      <c r="M37" s="254">
        <f t="shared" si="2"/>
        <v>0</v>
      </c>
      <c r="N37" s="254">
        <f t="shared" si="2"/>
        <v>0</v>
      </c>
      <c r="O37" s="254">
        <f t="shared" si="0"/>
        <v>231833.38</v>
      </c>
      <c r="P37" s="335">
        <f>O37/'CONSOLIDAÇÃO MENSAL FERMOJU 202'!$P$42</f>
        <v>6.3366779307090135E-4</v>
      </c>
    </row>
    <row r="38" spans="1:16" ht="14.4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>
        <f t="shared" si="0"/>
        <v>0</v>
      </c>
      <c r="P38" s="236">
        <f>O38/'CONSOLIDAÇÃO MENSAL FERMOJU 202'!$P$42</f>
        <v>0</v>
      </c>
    </row>
    <row r="39" spans="1:16" ht="17.399999999999999">
      <c r="A39" s="2"/>
      <c r="B39" s="415" t="s">
        <v>333</v>
      </c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>
        <f t="shared" si="0"/>
        <v>0</v>
      </c>
      <c r="P39" s="415">
        <f>O39/'CONSOLIDAÇÃO MENSAL FERMOJU 202'!$P$42</f>
        <v>0</v>
      </c>
    </row>
    <row r="40" spans="1:16" ht="17.399999999999999">
      <c r="A40" s="2"/>
      <c r="B40" s="257" t="s">
        <v>150</v>
      </c>
      <c r="C40" s="258">
        <f t="shared" ref="C40:N40" si="3">C30+C37</f>
        <v>366359.18</v>
      </c>
      <c r="D40" s="258">
        <f t="shared" si="3"/>
        <v>397512.37</v>
      </c>
      <c r="E40" s="258">
        <f t="shared" si="3"/>
        <v>472075.93</v>
      </c>
      <c r="F40" s="258">
        <f t="shared" si="3"/>
        <v>450331.95</v>
      </c>
      <c r="G40" s="258">
        <f t="shared" si="3"/>
        <v>504561.66</v>
      </c>
      <c r="H40" s="258">
        <f t="shared" si="3"/>
        <v>530736.37</v>
      </c>
      <c r="I40" s="258">
        <f t="shared" si="3"/>
        <v>562854.45000000007</v>
      </c>
      <c r="J40" s="258">
        <f t="shared" si="3"/>
        <v>471772.48</v>
      </c>
      <c r="K40" s="258">
        <f t="shared" si="3"/>
        <v>0</v>
      </c>
      <c r="L40" s="258">
        <f t="shared" si="3"/>
        <v>0</v>
      </c>
      <c r="M40" s="258">
        <f t="shared" si="3"/>
        <v>0</v>
      </c>
      <c r="N40" s="258">
        <f t="shared" si="3"/>
        <v>0</v>
      </c>
      <c r="O40" s="258">
        <f t="shared" si="0"/>
        <v>3756204.39</v>
      </c>
      <c r="P40" s="336">
        <f>O40/'CONSOLIDAÇÃO MENSAL FERMOJU 202'!$P$42</f>
        <v>1.0266794825380761E-2</v>
      </c>
    </row>
    <row r="41" spans="1:16" ht="13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</sheetData>
  <mergeCells count="7">
    <mergeCell ref="A32:A37"/>
    <mergeCell ref="B39:P39"/>
    <mergeCell ref="B2:O2"/>
    <mergeCell ref="B3:O3"/>
    <mergeCell ref="B5:O5"/>
    <mergeCell ref="A6:A30"/>
    <mergeCell ref="A31:P3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2139-0573-44D1-B78D-F7032AE167A7}">
  <dimension ref="A1:T39"/>
  <sheetViews>
    <sheetView tabSelected="1" topLeftCell="C1" workbookViewId="0">
      <selection activeCell="R11" sqref="R11"/>
    </sheetView>
  </sheetViews>
  <sheetFormatPr defaultRowHeight="13.2"/>
  <cols>
    <col min="1" max="1" width="8" bestFit="1" customWidth="1"/>
    <col min="2" max="2" width="12.109375" bestFit="1" customWidth="1"/>
    <col min="3" max="3" width="96.6640625" bestFit="1" customWidth="1"/>
    <col min="5" max="7" width="10.5546875" bestFit="1" customWidth="1"/>
    <col min="8" max="8" width="12.6640625" customWidth="1"/>
    <col min="11" max="11" width="12.109375" bestFit="1" customWidth="1"/>
    <col min="17" max="17" width="10.109375" bestFit="1" customWidth="1"/>
    <col min="18" max="20" width="16.88671875" bestFit="1" customWidth="1"/>
  </cols>
  <sheetData>
    <row r="1" spans="1:20">
      <c r="D1" s="338">
        <v>46023</v>
      </c>
      <c r="E1" s="338">
        <v>46054</v>
      </c>
      <c r="F1" s="338">
        <v>46082</v>
      </c>
      <c r="G1" s="338">
        <v>46113</v>
      </c>
      <c r="H1" s="338">
        <v>46143</v>
      </c>
      <c r="I1" s="338">
        <v>46174</v>
      </c>
      <c r="J1" s="338">
        <v>46204</v>
      </c>
      <c r="K1" s="338">
        <v>46235</v>
      </c>
      <c r="L1" s="338">
        <v>46266</v>
      </c>
      <c r="M1" s="338">
        <v>46296</v>
      </c>
      <c r="N1" s="338">
        <v>46327</v>
      </c>
      <c r="O1" s="338">
        <v>46357</v>
      </c>
    </row>
    <row r="2" spans="1:20">
      <c r="A2" t="s">
        <v>356</v>
      </c>
      <c r="B2" t="s">
        <v>357</v>
      </c>
      <c r="C2" t="s">
        <v>272</v>
      </c>
      <c r="D2">
        <f>'CONSOLIDAÇÃO MENSAL FERMOJU 202'!C5</f>
        <v>12132541.949999999</v>
      </c>
      <c r="E2">
        <f>'CONSOLIDAÇÃO MENSAL FERMOJU 202'!D5</f>
        <v>14095018.199999999</v>
      </c>
      <c r="F2">
        <f>'CONSOLIDAÇÃO MENSAL FERMOJU 202'!E5</f>
        <v>17211343.809999999</v>
      </c>
      <c r="G2">
        <f>'CONSOLIDAÇÃO MENSAL FERMOJU 202'!F5</f>
        <v>17227004.960000001</v>
      </c>
      <c r="H2">
        <f>'CONSOLIDAÇÃO MENSAL FERMOJU 202'!G5</f>
        <v>17722595.620000001</v>
      </c>
      <c r="I2">
        <f>'CONSOLIDAÇÃO MENSAL FERMOJU 202'!H5</f>
        <v>19322803.699999999</v>
      </c>
      <c r="J2">
        <f>'CONSOLIDAÇÃO MENSAL FERMOJU 202'!I5</f>
        <v>19765792.73</v>
      </c>
      <c r="K2">
        <f>'CONSOLIDAÇÃO MENSAL FERMOJU 202'!J5</f>
        <v>17989998.440000001</v>
      </c>
      <c r="L2">
        <f>'CONSOLIDAÇÃO MENSAL FERMOJU 202'!L5</f>
        <v>0</v>
      </c>
      <c r="M2">
        <f>'CONSOLIDAÇÃO MENSAL FERMOJU 202'!M5</f>
        <v>0</v>
      </c>
      <c r="N2">
        <f>'CONSOLIDAÇÃO MENSAL FERMOJU 202'!N5</f>
        <v>0</v>
      </c>
      <c r="O2">
        <f>'CONSOLIDAÇÃO MENSAL FERMOJU 202'!O5</f>
        <v>0</v>
      </c>
    </row>
    <row r="3" spans="1:20">
      <c r="A3" t="s">
        <v>356</v>
      </c>
      <c r="B3" t="s">
        <v>357</v>
      </c>
      <c r="C3" t="s">
        <v>273</v>
      </c>
      <c r="D3">
        <f>'CONSOLIDAÇÃO MENSAL FERMOJU 202'!C6</f>
        <v>123.44</v>
      </c>
      <c r="E3">
        <f>'CONSOLIDAÇÃO MENSAL FERMOJU 202'!D6</f>
        <v>559.05999999999995</v>
      </c>
      <c r="F3">
        <f>'CONSOLIDAÇÃO MENSAL FERMOJU 202'!E6</f>
        <v>15966.32</v>
      </c>
      <c r="G3">
        <f>'CONSOLIDAÇÃO MENSAL FERMOJU 202'!F6</f>
        <v>12850.2</v>
      </c>
      <c r="H3">
        <f>'CONSOLIDAÇÃO MENSAL FERMOJU 202'!G6</f>
        <v>36240.74</v>
      </c>
      <c r="I3">
        <f>'CONSOLIDAÇÃO MENSAL FERMOJU 202'!H6</f>
        <v>17925.72</v>
      </c>
      <c r="J3">
        <f>'CONSOLIDAÇÃO MENSAL FERMOJU 202'!I6</f>
        <v>3181.1</v>
      </c>
      <c r="K3">
        <f>'CONSOLIDAÇÃO MENSAL FERMOJU 202'!J6</f>
        <v>9931.26</v>
      </c>
      <c r="L3">
        <f>'CONSOLIDAÇÃO MENSAL FERMOJU 202'!L6</f>
        <v>0</v>
      </c>
      <c r="M3">
        <f>'CONSOLIDAÇÃO MENSAL FERMOJU 202'!M6</f>
        <v>0</v>
      </c>
      <c r="N3">
        <f>'CONSOLIDAÇÃO MENSAL FERMOJU 202'!N6</f>
        <v>0</v>
      </c>
      <c r="O3">
        <f>'CONSOLIDAÇÃO MENSAL FERMOJU 202'!O6</f>
        <v>0</v>
      </c>
      <c r="R3" s="367" t="s">
        <v>357</v>
      </c>
      <c r="S3" s="367" t="s">
        <v>358</v>
      </c>
      <c r="T3" s="367" t="s">
        <v>359</v>
      </c>
    </row>
    <row r="4" spans="1:20">
      <c r="A4" t="s">
        <v>356</v>
      </c>
      <c r="B4" t="s">
        <v>357</v>
      </c>
      <c r="C4" t="s">
        <v>274</v>
      </c>
      <c r="D4">
        <f>'CONSOLIDAÇÃO MENSAL FERMOJU 202'!C7</f>
        <v>121669.9</v>
      </c>
      <c r="E4">
        <f>'CONSOLIDAÇÃO MENSAL FERMOJU 202'!D7</f>
        <v>84458.06</v>
      </c>
      <c r="F4">
        <f>'CONSOLIDAÇÃO MENSAL FERMOJU 202'!E7</f>
        <v>455638.39</v>
      </c>
      <c r="G4">
        <f>'CONSOLIDAÇÃO MENSAL FERMOJU 202'!F7</f>
        <v>107559.12</v>
      </c>
      <c r="H4">
        <f>'CONSOLIDAÇÃO MENSAL FERMOJU 202'!G7</f>
        <v>112897.31</v>
      </c>
      <c r="I4">
        <f>'CONSOLIDAÇÃO MENSAL FERMOJU 202'!H7</f>
        <v>156731.15</v>
      </c>
      <c r="J4">
        <f>'CONSOLIDAÇÃO MENSAL FERMOJU 202'!I7</f>
        <v>146816.23000000001</v>
      </c>
      <c r="K4">
        <f>'CONSOLIDAÇÃO MENSAL FERMOJU 202'!J7</f>
        <v>104509.19</v>
      </c>
      <c r="L4">
        <f>'CONSOLIDAÇÃO MENSAL FERMOJU 202'!L7</f>
        <v>0</v>
      </c>
      <c r="M4">
        <f>'CONSOLIDAÇÃO MENSAL FERMOJU 202'!M7</f>
        <v>0</v>
      </c>
      <c r="N4">
        <f>'CONSOLIDAÇÃO MENSAL FERMOJU 202'!N7</f>
        <v>0</v>
      </c>
      <c r="O4">
        <f>'CONSOLIDAÇÃO MENSAL FERMOJU 202'!O7</f>
        <v>0</v>
      </c>
      <c r="Q4" s="368">
        <v>46023</v>
      </c>
      <c r="R4" s="369">
        <f>SUMIF($B:$B,R3,D:D)</f>
        <v>12967188.399999999</v>
      </c>
      <c r="S4" s="369">
        <f>SUMIF($B:$B,S3,D:D)</f>
        <v>7166784.7199999997</v>
      </c>
      <c r="T4" s="369">
        <f>SUMIF($B:$B,T3,D:D)</f>
        <v>15846896.069999998</v>
      </c>
    </row>
    <row r="5" spans="1:20">
      <c r="A5" t="s">
        <v>356</v>
      </c>
      <c r="B5" t="s">
        <v>358</v>
      </c>
      <c r="C5" t="s">
        <v>275</v>
      </c>
      <c r="D5">
        <f>'CONSOLIDAÇÃO MENSAL FERMOJU 202'!C8</f>
        <v>3825622.05</v>
      </c>
      <c r="E5">
        <f>'CONSOLIDAÇÃO MENSAL FERMOJU 202'!D8</f>
        <v>3689474.78</v>
      </c>
      <c r="F5">
        <f>'CONSOLIDAÇÃO MENSAL FERMOJU 202'!E8</f>
        <v>4767496.8</v>
      </c>
      <c r="G5">
        <f>'CONSOLIDAÇÃO MENSAL FERMOJU 202'!F8</f>
        <v>3803868.06</v>
      </c>
      <c r="H5">
        <f>'CONSOLIDAÇÃO MENSAL FERMOJU 202'!G8</f>
        <v>4440325.88</v>
      </c>
      <c r="I5">
        <f>'CONSOLIDAÇÃO MENSAL FERMOJU 202'!H8</f>
        <v>4999301.09</v>
      </c>
      <c r="J5">
        <f>'CONSOLIDAÇÃO MENSAL FERMOJU 202'!I8</f>
        <v>4464736.71</v>
      </c>
      <c r="K5">
        <f>'CONSOLIDAÇÃO MENSAL FERMOJU 202'!J8</f>
        <v>4496707.26</v>
      </c>
      <c r="L5">
        <f>'CONSOLIDAÇÃO MENSAL FERMOJU 202'!L8</f>
        <v>0</v>
      </c>
      <c r="M5">
        <f>'CONSOLIDAÇÃO MENSAL FERMOJU 202'!M8</f>
        <v>0</v>
      </c>
      <c r="N5">
        <f>'CONSOLIDAÇÃO MENSAL FERMOJU 202'!N8</f>
        <v>0</v>
      </c>
      <c r="O5">
        <f>'CONSOLIDAÇÃO MENSAL FERMOJU 202'!O8</f>
        <v>0</v>
      </c>
      <c r="Q5" s="368">
        <v>46054</v>
      </c>
      <c r="R5" s="369">
        <f>SUMIF($B:$B,$R$3,E:E)</f>
        <v>14986543.51</v>
      </c>
      <c r="S5" s="369">
        <f>SUMIF($B:$B,$R$3,E:E)</f>
        <v>14986543.51</v>
      </c>
      <c r="T5" s="369">
        <f>SUMIF($B:$B,$R$3,E:E)</f>
        <v>14986543.51</v>
      </c>
    </row>
    <row r="6" spans="1:20">
      <c r="A6" t="s">
        <v>356</v>
      </c>
      <c r="B6" t="s">
        <v>358</v>
      </c>
      <c r="C6" t="s">
        <v>276</v>
      </c>
      <c r="D6">
        <f>'CONSOLIDAÇÃO MENSAL FERMOJU 202'!C9</f>
        <v>3341162.67</v>
      </c>
      <c r="E6">
        <f>'CONSOLIDAÇÃO MENSAL FERMOJU 202'!D9</f>
        <v>3135505.02</v>
      </c>
      <c r="F6">
        <f>'CONSOLIDAÇÃO MENSAL FERMOJU 202'!E9</f>
        <v>4178974.29</v>
      </c>
      <c r="G6">
        <f>'CONSOLIDAÇÃO MENSAL FERMOJU 202'!F9</f>
        <v>3172814.21</v>
      </c>
      <c r="H6">
        <f>'CONSOLIDAÇÃO MENSAL FERMOJU 202'!G9</f>
        <v>3899224.8</v>
      </c>
      <c r="I6">
        <f>'CONSOLIDAÇÃO MENSAL FERMOJU 202'!H9</f>
        <v>4312644.9400000004</v>
      </c>
      <c r="J6">
        <f>'CONSOLIDAÇÃO MENSAL FERMOJU 202'!I9</f>
        <v>3879523.37</v>
      </c>
      <c r="K6">
        <f>'CONSOLIDAÇÃO MENSAL FERMOJU 202'!J9</f>
        <v>3896145.1</v>
      </c>
      <c r="L6">
        <f>'CONSOLIDAÇÃO MENSAL FERMOJU 202'!L9</f>
        <v>0</v>
      </c>
      <c r="M6">
        <f>'CONSOLIDAÇÃO MENSAL FERMOJU 202'!M9</f>
        <v>0</v>
      </c>
      <c r="N6">
        <f>'CONSOLIDAÇÃO MENSAL FERMOJU 202'!N9</f>
        <v>0</v>
      </c>
      <c r="O6">
        <f>'CONSOLIDAÇÃO MENSAL FERMOJU 202'!O9</f>
        <v>0</v>
      </c>
      <c r="Q6" s="368">
        <v>46082</v>
      </c>
      <c r="R6" s="369">
        <f>SUMIF($B:$B,R3,F:F)</f>
        <v>18664722.079999998</v>
      </c>
      <c r="S6" s="369">
        <f>SUMIF($B:$B,S3,F:F)</f>
        <v>8946471.0899999999</v>
      </c>
      <c r="T6" s="369">
        <f>SUMIF($B:$B,T3,F:F)</f>
        <v>16462280.76</v>
      </c>
    </row>
    <row r="7" spans="1:20">
      <c r="A7" t="s">
        <v>356</v>
      </c>
      <c r="B7" t="s">
        <v>359</v>
      </c>
      <c r="C7" t="s">
        <v>297</v>
      </c>
      <c r="D7">
        <f>'CONSOLIDAÇÃO MENSAL FERMOJU 202'!C34</f>
        <v>352065.78</v>
      </c>
      <c r="E7">
        <f>'CONSOLIDAÇÃO MENSAL FERMOJU 202'!D34</f>
        <v>309831.90999999997</v>
      </c>
      <c r="F7">
        <f>'CONSOLIDAÇÃO MENSAL FERMOJU 202'!E34</f>
        <v>383934.24</v>
      </c>
      <c r="G7">
        <f>'CONSOLIDAÇÃO MENSAL FERMOJU 202'!F34</f>
        <v>359436.47</v>
      </c>
      <c r="H7">
        <f>'CONSOLIDAÇÃO MENSAL FERMOJU 202'!G34</f>
        <v>365598.99</v>
      </c>
      <c r="I7">
        <f>'CONSOLIDAÇÃO MENSAL FERMOJU 202'!H34</f>
        <v>396552.64</v>
      </c>
      <c r="J7">
        <f>'CONSOLIDAÇÃO MENSAL FERMOJU 202'!I34</f>
        <v>425969.96</v>
      </c>
      <c r="K7">
        <f>'CONSOLIDAÇÃO MENSAL FERMOJU 202'!J34</f>
        <v>0</v>
      </c>
      <c r="L7">
        <f>'CONSOLIDAÇÃO MENSAL FERMOJU 202'!L34</f>
        <v>0</v>
      </c>
      <c r="M7">
        <f>'CONSOLIDAÇÃO MENSAL FERMOJU 202'!M34</f>
        <v>0</v>
      </c>
      <c r="N7">
        <f>'CONSOLIDAÇÃO MENSAL FERMOJU 202'!N34</f>
        <v>0</v>
      </c>
      <c r="O7">
        <f>'CONSOLIDAÇÃO MENSAL FERMOJU 202'!O34</f>
        <v>0</v>
      </c>
      <c r="Q7" s="368">
        <v>46113</v>
      </c>
      <c r="R7" s="369">
        <f>SUMIF($B:$B,R3,G:G)</f>
        <v>18301236.849999998</v>
      </c>
      <c r="S7" s="369">
        <f>SUMIF($B:$B,S3,G:G)</f>
        <v>6976682.2699999996</v>
      </c>
      <c r="T7" s="369">
        <f>SUMIF($B:$B,T3,G:G)</f>
        <v>15995175.84</v>
      </c>
    </row>
    <row r="8" spans="1:20">
      <c r="A8" t="s">
        <v>356</v>
      </c>
      <c r="B8" t="s">
        <v>359</v>
      </c>
      <c r="C8" t="s">
        <v>298</v>
      </c>
      <c r="D8">
        <f>'CONSOLIDAÇÃO MENSAL FERMOJU 202'!C35</f>
        <v>5262949.97</v>
      </c>
      <c r="E8">
        <f>'CONSOLIDAÇÃO MENSAL FERMOJU 202'!D35</f>
        <v>4513143.76</v>
      </c>
      <c r="F8">
        <f>'CONSOLIDAÇÃO MENSAL FERMOJU 202'!E35</f>
        <v>5426144.9199999999</v>
      </c>
      <c r="G8">
        <f>'CONSOLIDAÇÃO MENSAL FERMOJU 202'!F35</f>
        <v>4701968.9800000004</v>
      </c>
      <c r="H8">
        <f>'CONSOLIDAÇÃO MENSAL FERMOJU 202'!G35</f>
        <v>4757746.12</v>
      </c>
      <c r="I8">
        <f>'CONSOLIDAÇÃO MENSAL FERMOJU 202'!H35</f>
        <v>5009119.2300000004</v>
      </c>
      <c r="J8">
        <f>'CONSOLIDAÇÃO MENSAL FERMOJU 202'!I35</f>
        <v>5583187.5899999999</v>
      </c>
      <c r="K8">
        <f>'CONSOLIDAÇÃO MENSAL FERMOJU 202'!J35</f>
        <v>0</v>
      </c>
      <c r="L8">
        <f>'CONSOLIDAÇÃO MENSAL FERMOJU 202'!L35</f>
        <v>0</v>
      </c>
      <c r="M8">
        <f>'CONSOLIDAÇÃO MENSAL FERMOJU 202'!M35</f>
        <v>0</v>
      </c>
      <c r="N8">
        <f>'CONSOLIDAÇÃO MENSAL FERMOJU 202'!N35</f>
        <v>0</v>
      </c>
      <c r="O8">
        <f>'CONSOLIDAÇÃO MENSAL FERMOJU 202'!O35</f>
        <v>0</v>
      </c>
      <c r="Q8" s="368">
        <v>46143</v>
      </c>
      <c r="R8" s="369">
        <f>SUMIF($B:$B,R3,H:H)</f>
        <v>18896036.48</v>
      </c>
      <c r="S8" s="369">
        <f>SUMIF($B:$B,S3,H:H)</f>
        <v>8339550.6799999997</v>
      </c>
      <c r="T8" s="369">
        <f>SUMIF($B:$B,T3,H:H)</f>
        <v>18671208.68</v>
      </c>
    </row>
    <row r="9" spans="1:20">
      <c r="A9" t="s">
        <v>356</v>
      </c>
      <c r="B9" t="s">
        <v>359</v>
      </c>
      <c r="C9" t="s">
        <v>299</v>
      </c>
      <c r="D9">
        <f>'CONSOLIDAÇÃO MENSAL FERMOJU 202'!C36</f>
        <v>9821108.2799999993</v>
      </c>
      <c r="E9">
        <f>'CONSOLIDAÇÃO MENSAL FERMOJU 202'!D36</f>
        <v>9992069</v>
      </c>
      <c r="F9">
        <f>'CONSOLIDAÇÃO MENSAL FERMOJU 202'!E36</f>
        <v>10218784.98</v>
      </c>
      <c r="G9">
        <f>'CONSOLIDAÇÃO MENSAL FERMOJU 202'!F36</f>
        <v>10544056.58</v>
      </c>
      <c r="H9">
        <f>'CONSOLIDAÇÃO MENSAL FERMOJU 202'!G36</f>
        <v>10857943.470000001</v>
      </c>
      <c r="I9">
        <f>'CONSOLIDAÇÃO MENSAL FERMOJU 202'!H36</f>
        <v>11075008.52</v>
      </c>
      <c r="J9">
        <f>'CONSOLIDAÇÃO MENSAL FERMOJU 202'!I36</f>
        <v>11308744.470000001</v>
      </c>
      <c r="K9">
        <f>'CONSOLIDAÇÃO MENSAL FERMOJU 202'!J36</f>
        <v>11388930.619999999</v>
      </c>
      <c r="L9">
        <f>'CONSOLIDAÇÃO MENSAL FERMOJU 202'!L36</f>
        <v>0</v>
      </c>
      <c r="M9">
        <f>'CONSOLIDAÇÃO MENSAL FERMOJU 202'!M36</f>
        <v>0</v>
      </c>
      <c r="N9">
        <f>'CONSOLIDAÇÃO MENSAL FERMOJU 202'!N36</f>
        <v>0</v>
      </c>
      <c r="O9">
        <f>'CONSOLIDAÇÃO MENSAL FERMOJU 202'!O36</f>
        <v>0</v>
      </c>
      <c r="Q9" s="368">
        <v>46174</v>
      </c>
      <c r="R9" s="369">
        <f>SUMIF($B:$B,R3,I:I)</f>
        <v>20597140.41</v>
      </c>
      <c r="S9" s="369">
        <f>SUMIF($B:$B,S3,I:I)</f>
        <v>9311946.0300000012</v>
      </c>
      <c r="T9" s="369">
        <f>SUMIF($B:$B,T3,I:I)</f>
        <v>17582449.800000001</v>
      </c>
    </row>
    <row r="10" spans="1:20">
      <c r="A10" t="s">
        <v>356</v>
      </c>
      <c r="B10" t="s">
        <v>359</v>
      </c>
      <c r="C10" t="s">
        <v>300</v>
      </c>
      <c r="D10">
        <f>'CONSOLIDAÇÃO MENSAL FERMOJU 202'!C37</f>
        <v>0</v>
      </c>
      <c r="E10">
        <f>'CONSOLIDAÇÃO MENSAL FERMOJU 202'!D37</f>
        <v>0</v>
      </c>
      <c r="F10">
        <f>'CONSOLIDAÇÃO MENSAL FERMOJU 202'!E37</f>
        <v>0</v>
      </c>
      <c r="G10">
        <f>'CONSOLIDAÇÃO MENSAL FERMOJU 202'!F37</f>
        <v>0</v>
      </c>
      <c r="H10">
        <f>'CONSOLIDAÇÃO MENSAL FERMOJU 202'!G37</f>
        <v>0</v>
      </c>
      <c r="I10">
        <f>'CONSOLIDAÇÃO MENSAL FERMOJU 202'!H37</f>
        <v>0</v>
      </c>
      <c r="J10">
        <f>'CONSOLIDAÇÃO MENSAL FERMOJU 202'!I37</f>
        <v>0</v>
      </c>
      <c r="K10">
        <f>'CONSOLIDAÇÃO MENSAL FERMOJU 202'!J37</f>
        <v>0</v>
      </c>
      <c r="L10">
        <f>'CONSOLIDAÇÃO MENSAL FERMOJU 202'!L37</f>
        <v>0</v>
      </c>
      <c r="M10">
        <f>'CONSOLIDAÇÃO MENSAL FERMOJU 202'!M37</f>
        <v>0</v>
      </c>
      <c r="N10">
        <f>'CONSOLIDAÇÃO MENSAL FERMOJU 202'!N37</f>
        <v>0</v>
      </c>
      <c r="O10">
        <f>'CONSOLIDAÇÃO MENSAL FERMOJU 202'!O37</f>
        <v>0</v>
      </c>
      <c r="Q10" s="368"/>
      <c r="R10" s="369"/>
      <c r="S10" s="369"/>
      <c r="T10" s="369"/>
    </row>
    <row r="11" spans="1:20">
      <c r="A11" t="s">
        <v>356</v>
      </c>
      <c r="B11" t="s">
        <v>359</v>
      </c>
      <c r="C11" t="s">
        <v>301</v>
      </c>
      <c r="D11">
        <f>'CONSOLIDAÇÃO MENSAL FERMOJU 202'!C38</f>
        <v>0</v>
      </c>
      <c r="E11">
        <f>'CONSOLIDAÇÃO MENSAL FERMOJU 202'!D38</f>
        <v>1752093.84</v>
      </c>
      <c r="F11">
        <f>'CONSOLIDAÇÃO MENSAL FERMOJU 202'!E38</f>
        <v>0</v>
      </c>
      <c r="G11">
        <f>'CONSOLIDAÇÃO MENSAL FERMOJU 202'!F38</f>
        <v>0</v>
      </c>
      <c r="H11">
        <f>'CONSOLIDAÇÃO MENSAL FERMOJU 202'!G38</f>
        <v>2303650.65</v>
      </c>
      <c r="I11">
        <f>'CONSOLIDAÇÃO MENSAL FERMOJU 202'!H38</f>
        <v>697494.55</v>
      </c>
      <c r="J11">
        <f>'CONSOLIDAÇÃO MENSAL FERMOJU 202'!I38</f>
        <v>786593.01</v>
      </c>
      <c r="K11">
        <f>'CONSOLIDAÇÃO MENSAL FERMOJU 202'!J38</f>
        <v>0</v>
      </c>
      <c r="L11">
        <f>'CONSOLIDAÇÃO MENSAL FERMOJU 202'!L38</f>
        <v>0</v>
      </c>
      <c r="M11">
        <f>'CONSOLIDAÇÃO MENSAL FERMOJU 202'!M38</f>
        <v>0</v>
      </c>
      <c r="N11">
        <f>'CONSOLIDAÇÃO MENSAL FERMOJU 202'!N38</f>
        <v>0</v>
      </c>
      <c r="O11">
        <f>'CONSOLIDAÇÃO MENSAL FERMOJU 202'!O38</f>
        <v>0</v>
      </c>
    </row>
    <row r="12" spans="1:20">
      <c r="A12" t="s">
        <v>360</v>
      </c>
      <c r="B12" t="s">
        <v>357</v>
      </c>
      <c r="C12" t="s">
        <v>310</v>
      </c>
      <c r="D12">
        <f>'CONSOLIDACAO MENSAL FUNSEG'!C6</f>
        <v>375173.51</v>
      </c>
      <c r="E12">
        <f>'CONSOLIDACAO MENSAL FUNSEG'!D6</f>
        <v>435834.26</v>
      </c>
      <c r="F12">
        <f>'CONSOLIDACAO MENSAL FUNSEG'!E6</f>
        <v>532197.32999999996</v>
      </c>
      <c r="G12">
        <f>'CONSOLIDACAO MENSAL FUNSEG'!F6</f>
        <v>532688.55000000005</v>
      </c>
      <c r="H12">
        <f>'CONSOLIDACAO MENSAL FUNSEG'!G6</f>
        <v>548011.89</v>
      </c>
      <c r="I12">
        <f>'CONSOLIDACAO MENSAL FUNSEG'!H6</f>
        <v>597497.48</v>
      </c>
      <c r="J12">
        <f>'CONSOLIDACAO MENSAL FUNSEG'!I6</f>
        <v>613201.87</v>
      </c>
      <c r="K12">
        <f>'CONSOLIDACAO MENSAL FUNSEG'!J6</f>
        <v>554590.31999999995</v>
      </c>
      <c r="L12">
        <f>'CONSOLIDACAO MENSAL FUNSEG'!K6</f>
        <v>0</v>
      </c>
      <c r="M12">
        <f>'CONSOLIDACAO MENSAL FUNSEG'!L6</f>
        <v>0</v>
      </c>
      <c r="N12">
        <f>'CONSOLIDACAO MENSAL FUNSEG'!M6</f>
        <v>0</v>
      </c>
      <c r="O12">
        <f>'CONSOLIDACAO MENSAL FUNSEG'!N6</f>
        <v>0</v>
      </c>
    </row>
    <row r="13" spans="1:20">
      <c r="A13" t="s">
        <v>360</v>
      </c>
      <c r="B13" t="s">
        <v>357</v>
      </c>
      <c r="C13" t="s">
        <v>311</v>
      </c>
      <c r="D13">
        <f>'CONSOLIDACAO MENSAL FUNSEG'!C7</f>
        <v>3.78</v>
      </c>
      <c r="E13">
        <f>'CONSOLIDACAO MENSAL FUNSEG'!D7</f>
        <v>17.260000000000002</v>
      </c>
      <c r="F13">
        <f>'CONSOLIDACAO MENSAL FUNSEG'!E7</f>
        <v>493.76</v>
      </c>
      <c r="G13">
        <f>'CONSOLIDACAO MENSAL FUNSEG'!F7</f>
        <v>397.38</v>
      </c>
      <c r="H13">
        <f>'CONSOLIDACAO MENSAL FUNSEG'!G7</f>
        <v>1120.6600000000001</v>
      </c>
      <c r="I13">
        <f>'CONSOLIDACAO MENSAL FUNSEG'!H7</f>
        <v>554.32000000000005</v>
      </c>
      <c r="J13">
        <f>'CONSOLIDACAO MENSAL FUNSEG'!I7</f>
        <v>98.35</v>
      </c>
      <c r="K13">
        <f>'CONSOLIDACAO MENSAL FUNSEG'!J7</f>
        <v>0</v>
      </c>
      <c r="L13">
        <f>'CONSOLIDACAO MENSAL FUNSEG'!K7</f>
        <v>0</v>
      </c>
      <c r="M13">
        <f>'CONSOLIDACAO MENSAL FUNSEG'!L7</f>
        <v>0</v>
      </c>
      <c r="N13">
        <f>'CONSOLIDACAO MENSAL FUNSEG'!M7</f>
        <v>0</v>
      </c>
      <c r="O13">
        <f>'CONSOLIDACAO MENSAL FUNSEG'!N7</f>
        <v>0</v>
      </c>
    </row>
    <row r="14" spans="1:20">
      <c r="A14" t="s">
        <v>360</v>
      </c>
      <c r="B14" t="s">
        <v>357</v>
      </c>
      <c r="C14" t="s">
        <v>312</v>
      </c>
      <c r="D14">
        <f>'CONSOLIDACAO MENSAL FUNSEG'!C8</f>
        <v>3253.57</v>
      </c>
      <c r="E14">
        <f>'CONSOLIDACAO MENSAL FUNSEG'!D8</f>
        <v>2258.36</v>
      </c>
      <c r="F14">
        <f>'CONSOLIDACAO MENSAL FUNSEG'!E8</f>
        <v>12186.4</v>
      </c>
      <c r="G14">
        <f>'CONSOLIDACAO MENSAL FUNSEG'!F8</f>
        <v>2876.31</v>
      </c>
      <c r="H14">
        <f>'CONSOLIDACAO MENSAL FUNSEG'!G8</f>
        <v>3019.1</v>
      </c>
      <c r="I14">
        <f>'CONSOLIDACAO MENSAL FUNSEG'!H8</f>
        <v>4191.53</v>
      </c>
      <c r="J14">
        <f>'CONSOLIDACAO MENSAL FUNSEG'!I8</f>
        <v>3960.94</v>
      </c>
      <c r="K14">
        <f>'CONSOLIDACAO MENSAL FUNSEG'!J8</f>
        <v>2760.17</v>
      </c>
      <c r="L14">
        <f>'CONSOLIDACAO MENSAL FUNSEG'!K8</f>
        <v>0</v>
      </c>
      <c r="M14">
        <f>'CONSOLIDACAO MENSAL FUNSEG'!L8</f>
        <v>0</v>
      </c>
      <c r="N14">
        <f>'CONSOLIDACAO MENSAL FUNSEG'!M8</f>
        <v>0</v>
      </c>
      <c r="O14">
        <f>'CONSOLIDACAO MENSAL FUNSEG'!N8</f>
        <v>0</v>
      </c>
    </row>
    <row r="15" spans="1:20">
      <c r="A15" t="s">
        <v>360</v>
      </c>
      <c r="B15" t="s">
        <v>358</v>
      </c>
      <c r="C15" s="337" t="s">
        <v>313</v>
      </c>
      <c r="D15">
        <f>'CONSOLIDACAO MENSAL FUNSEG'!C9</f>
        <v>0</v>
      </c>
      <c r="E15">
        <f>'CONSOLIDACAO MENSAL FUNSEG'!D9</f>
        <v>0</v>
      </c>
      <c r="F15">
        <f>'CONSOLIDACAO MENSAL FUNSEG'!E9</f>
        <v>0</v>
      </c>
      <c r="G15">
        <f>'CONSOLIDACAO MENSAL FUNSEG'!F9</f>
        <v>0</v>
      </c>
      <c r="H15">
        <f>'CONSOLIDACAO MENSAL FUNSEG'!G9</f>
        <v>0</v>
      </c>
      <c r="I15">
        <f>'CONSOLIDACAO MENSAL FUNSEG'!H9</f>
        <v>0</v>
      </c>
      <c r="J15">
        <f>'CONSOLIDACAO MENSAL FUNSEG'!I9</f>
        <v>0</v>
      </c>
      <c r="K15">
        <f>'CONSOLIDACAO MENSAL FUNSEG'!J9</f>
        <v>0</v>
      </c>
      <c r="L15">
        <f>'CONSOLIDACAO MENSAL FUNSEG'!K9</f>
        <v>0</v>
      </c>
      <c r="M15">
        <f>'CONSOLIDACAO MENSAL FUNSEG'!L9</f>
        <v>0</v>
      </c>
      <c r="N15">
        <f>'CONSOLIDACAO MENSAL FUNSEG'!M9</f>
        <v>0</v>
      </c>
      <c r="O15">
        <f>'CONSOLIDACAO MENSAL FUNSEG'!N9</f>
        <v>0</v>
      </c>
    </row>
    <row r="16" spans="1:20">
      <c r="A16" t="s">
        <v>360</v>
      </c>
      <c r="B16" t="s">
        <v>358</v>
      </c>
      <c r="C16" s="337" t="s">
        <v>314</v>
      </c>
      <c r="D16">
        <f>'CONSOLIDACAO MENSAL FUNSEG'!C10</f>
        <v>0</v>
      </c>
      <c r="E16">
        <f>'CONSOLIDACAO MENSAL FUNSEG'!D10</f>
        <v>0</v>
      </c>
      <c r="F16">
        <f>'CONSOLIDACAO MENSAL FUNSEG'!E10</f>
        <v>0</v>
      </c>
      <c r="G16">
        <f>'CONSOLIDACAO MENSAL FUNSEG'!F10</f>
        <v>0</v>
      </c>
      <c r="H16">
        <f>'CONSOLIDACAO MENSAL FUNSEG'!G10</f>
        <v>0</v>
      </c>
      <c r="I16">
        <f>'CONSOLIDACAO MENSAL FUNSEG'!H10</f>
        <v>0</v>
      </c>
      <c r="J16">
        <f>'CONSOLIDACAO MENSAL FUNSEG'!I10</f>
        <v>0</v>
      </c>
      <c r="K16">
        <f>'CONSOLIDACAO MENSAL FUNSEG'!J10</f>
        <v>0</v>
      </c>
      <c r="L16">
        <f>'CONSOLIDACAO MENSAL FUNSEG'!K10</f>
        <v>0</v>
      </c>
      <c r="M16">
        <f>'CONSOLIDACAO MENSAL FUNSEG'!L10</f>
        <v>0</v>
      </c>
      <c r="N16">
        <f>'CONSOLIDACAO MENSAL FUNSEG'!M10</f>
        <v>0</v>
      </c>
      <c r="O16">
        <f>'CONSOLIDACAO MENSAL FUNSEG'!N10</f>
        <v>0</v>
      </c>
    </row>
    <row r="17" spans="1:15">
      <c r="A17" t="s">
        <v>360</v>
      </c>
      <c r="B17" t="s">
        <v>359</v>
      </c>
      <c r="C17" t="s">
        <v>297</v>
      </c>
      <c r="D17">
        <f>'CONSOLIDACAO MENSAL FUNSEG'!C32</f>
        <v>0</v>
      </c>
      <c r="E17">
        <f>'CONSOLIDACAO MENSAL FUNSEG'!D32</f>
        <v>0</v>
      </c>
      <c r="F17">
        <f>'CONSOLIDACAO MENSAL FUNSEG'!E32</f>
        <v>0</v>
      </c>
      <c r="G17">
        <f>'CONSOLIDACAO MENSAL FUNSEG'!F32</f>
        <v>0</v>
      </c>
      <c r="H17">
        <f>'CONSOLIDACAO MENSAL FUNSEG'!G32</f>
        <v>0</v>
      </c>
      <c r="I17">
        <f>'CONSOLIDACAO MENSAL FUNSEG'!H32</f>
        <v>0</v>
      </c>
      <c r="J17">
        <f>'CONSOLIDACAO MENSAL FUNSEG'!I32</f>
        <v>0</v>
      </c>
      <c r="K17">
        <f>'CONSOLIDACAO MENSAL FUNSEG'!J32</f>
        <v>0</v>
      </c>
      <c r="L17">
        <f>'CONSOLIDACAO MENSAL FUNSEG'!K32</f>
        <v>0</v>
      </c>
      <c r="M17">
        <f>'CONSOLIDACAO MENSAL FUNSEG'!L32</f>
        <v>0</v>
      </c>
      <c r="N17">
        <f>'CONSOLIDACAO MENSAL FUNSEG'!M32</f>
        <v>0</v>
      </c>
      <c r="O17">
        <f>'CONSOLIDACAO MENSAL FUNSEG'!N32</f>
        <v>0</v>
      </c>
    </row>
    <row r="18" spans="1:15">
      <c r="A18" t="s">
        <v>360</v>
      </c>
      <c r="B18" t="s">
        <v>359</v>
      </c>
      <c r="C18" t="s">
        <v>298</v>
      </c>
      <c r="D18">
        <f>'CONSOLIDACAO MENSAL FUNSEG'!C33</f>
        <v>378835.11</v>
      </c>
      <c r="E18">
        <f>'CONSOLIDACAO MENSAL FUNSEG'!D33</f>
        <v>327536.71000000002</v>
      </c>
      <c r="F18">
        <f>'CONSOLIDACAO MENSAL FUNSEG'!E33</f>
        <v>398236.76</v>
      </c>
      <c r="G18">
        <f>'CONSOLIDACAO MENSAL FUNSEG'!F33</f>
        <v>357242.19</v>
      </c>
      <c r="H18">
        <f>'CONSOLIDACAO MENSAL FUNSEG'!G33</f>
        <v>353858.95</v>
      </c>
      <c r="I18">
        <f>'CONSOLIDACAO MENSAL FUNSEG'!H33</f>
        <v>370975</v>
      </c>
      <c r="J18">
        <f>'CONSOLIDACAO MENSAL FUNSEG'!I33</f>
        <v>403533.51</v>
      </c>
      <c r="K18">
        <f>'CONSOLIDACAO MENSAL FUNSEG'!J33</f>
        <v>0</v>
      </c>
      <c r="L18">
        <f>'CONSOLIDACAO MENSAL FUNSEG'!K33</f>
        <v>0</v>
      </c>
      <c r="M18">
        <f>'CONSOLIDACAO MENSAL FUNSEG'!L33</f>
        <v>0</v>
      </c>
      <c r="N18">
        <f>'CONSOLIDACAO MENSAL FUNSEG'!M33</f>
        <v>0</v>
      </c>
      <c r="O18">
        <f>'CONSOLIDACAO MENSAL FUNSEG'!N33</f>
        <v>0</v>
      </c>
    </row>
    <row r="19" spans="1:15">
      <c r="A19" t="s">
        <v>360</v>
      </c>
      <c r="B19" t="s">
        <v>359</v>
      </c>
      <c r="C19" t="s">
        <v>299</v>
      </c>
      <c r="D19">
        <f>'CONSOLIDACAO MENSAL FUNSEG'!C34</f>
        <v>0</v>
      </c>
      <c r="E19">
        <f>'CONSOLIDACAO MENSAL FUNSEG'!D34</f>
        <v>0</v>
      </c>
      <c r="F19">
        <f>'CONSOLIDACAO MENSAL FUNSEG'!E34</f>
        <v>0</v>
      </c>
      <c r="G19">
        <f>'CONSOLIDACAO MENSAL FUNSEG'!F34</f>
        <v>0</v>
      </c>
      <c r="H19">
        <f>'CONSOLIDACAO MENSAL FUNSEG'!G34</f>
        <v>0</v>
      </c>
      <c r="I19">
        <f>'CONSOLIDACAO MENSAL FUNSEG'!H34</f>
        <v>0</v>
      </c>
      <c r="J19">
        <f>'CONSOLIDACAO MENSAL FUNSEG'!I34</f>
        <v>0</v>
      </c>
      <c r="K19">
        <f>'CONSOLIDACAO MENSAL FUNSEG'!J34</f>
        <v>0</v>
      </c>
      <c r="L19">
        <f>'CONSOLIDACAO MENSAL FUNSEG'!K34</f>
        <v>0</v>
      </c>
      <c r="M19">
        <f>'CONSOLIDACAO MENSAL FUNSEG'!L34</f>
        <v>0</v>
      </c>
      <c r="N19">
        <f>'CONSOLIDACAO MENSAL FUNSEG'!M34</f>
        <v>0</v>
      </c>
      <c r="O19">
        <f>'CONSOLIDACAO MENSAL FUNSEG'!N34</f>
        <v>0</v>
      </c>
    </row>
    <row r="20" spans="1:15">
      <c r="A20" t="s">
        <v>360</v>
      </c>
      <c r="B20" t="s">
        <v>359</v>
      </c>
      <c r="C20" t="s">
        <v>300</v>
      </c>
      <c r="D20">
        <f>'CONSOLIDACAO MENSAL FUNSEG'!C35</f>
        <v>0</v>
      </c>
      <c r="E20">
        <f>'CONSOLIDACAO MENSAL FUNSEG'!D35</f>
        <v>0</v>
      </c>
      <c r="F20">
        <f>'CONSOLIDACAO MENSAL FUNSEG'!E35</f>
        <v>0</v>
      </c>
      <c r="G20">
        <f>'CONSOLIDACAO MENSAL FUNSEG'!F35</f>
        <v>0</v>
      </c>
      <c r="H20">
        <f>'CONSOLIDACAO MENSAL FUNSEG'!G35</f>
        <v>0</v>
      </c>
      <c r="I20">
        <f>'CONSOLIDACAO MENSAL FUNSEG'!H35</f>
        <v>0</v>
      </c>
      <c r="J20">
        <f>'CONSOLIDACAO MENSAL FUNSEG'!I35</f>
        <v>0</v>
      </c>
      <c r="K20">
        <f>'CONSOLIDACAO MENSAL FUNSEG'!J35</f>
        <v>0</v>
      </c>
      <c r="L20">
        <f>'CONSOLIDACAO MENSAL FUNSEG'!K35</f>
        <v>0</v>
      </c>
      <c r="M20">
        <f>'CONSOLIDACAO MENSAL FUNSEG'!L35</f>
        <v>0</v>
      </c>
      <c r="N20">
        <f>'CONSOLIDACAO MENSAL FUNSEG'!M35</f>
        <v>0</v>
      </c>
      <c r="O20">
        <f>'CONSOLIDACAO MENSAL FUNSEG'!N35</f>
        <v>0</v>
      </c>
    </row>
    <row r="21" spans="1:15">
      <c r="A21" t="s">
        <v>360</v>
      </c>
      <c r="B21" t="s">
        <v>359</v>
      </c>
      <c r="C21" t="s">
        <v>301</v>
      </c>
      <c r="D21">
        <f>'CONSOLIDACAO MENSAL FUNSEG'!C36</f>
        <v>0</v>
      </c>
      <c r="E21">
        <f>'CONSOLIDACAO MENSAL FUNSEG'!D36</f>
        <v>0</v>
      </c>
      <c r="F21">
        <f>'CONSOLIDACAO MENSAL FUNSEG'!E36</f>
        <v>0</v>
      </c>
      <c r="G21">
        <f>'CONSOLIDACAO MENSAL FUNSEG'!F36</f>
        <v>0</v>
      </c>
      <c r="H21">
        <f>'CONSOLIDACAO MENSAL FUNSEG'!G36</f>
        <v>0</v>
      </c>
      <c r="I21">
        <f>'CONSOLIDACAO MENSAL FUNSEG'!H36</f>
        <v>0</v>
      </c>
      <c r="J21">
        <f>'CONSOLIDACAO MENSAL FUNSEG'!I36</f>
        <v>0</v>
      </c>
      <c r="K21">
        <f>'CONSOLIDACAO MENSAL FUNSEG'!J36</f>
        <v>0</v>
      </c>
      <c r="L21">
        <f>'CONSOLIDACAO MENSAL FUNSEG'!K36</f>
        <v>0</v>
      </c>
      <c r="M21">
        <f>'CONSOLIDACAO MENSAL FUNSEG'!L36</f>
        <v>0</v>
      </c>
      <c r="N21">
        <f>'CONSOLIDACAO MENSAL FUNSEG'!M36</f>
        <v>0</v>
      </c>
      <c r="O21">
        <f>'CONSOLIDACAO MENSAL FUNSEG'!N36</f>
        <v>0</v>
      </c>
    </row>
    <row r="22" spans="1:15">
      <c r="A22" t="s">
        <v>360</v>
      </c>
      <c r="B22" t="s">
        <v>359</v>
      </c>
      <c r="C22" t="s">
        <v>332</v>
      </c>
      <c r="D22">
        <f>'CONSOLIDACAO MENSAL FUNSEG'!C37</f>
        <v>0</v>
      </c>
      <c r="E22">
        <f>'CONSOLIDACAO MENSAL FUNSEG'!D37</f>
        <v>0</v>
      </c>
      <c r="F22">
        <f>'CONSOLIDACAO MENSAL FUNSEG'!E37</f>
        <v>0</v>
      </c>
      <c r="G22">
        <f>'CONSOLIDACAO MENSAL FUNSEG'!F37</f>
        <v>0</v>
      </c>
      <c r="H22">
        <f>'CONSOLIDACAO MENSAL FUNSEG'!G37</f>
        <v>0</v>
      </c>
      <c r="I22">
        <f>'CONSOLIDACAO MENSAL FUNSEG'!H37</f>
        <v>0</v>
      </c>
      <c r="J22">
        <f>'CONSOLIDACAO MENSAL FUNSEG'!I37</f>
        <v>0</v>
      </c>
      <c r="K22">
        <f>'CONSOLIDACAO MENSAL FUNSEG'!J37</f>
        <v>0</v>
      </c>
      <c r="L22">
        <f>'CONSOLIDACAO MENSAL FUNSEG'!K37</f>
        <v>0</v>
      </c>
      <c r="M22">
        <f>'CONSOLIDACAO MENSAL FUNSEG'!L37</f>
        <v>0</v>
      </c>
      <c r="N22">
        <f>'CONSOLIDACAO MENSAL FUNSEG'!M37</f>
        <v>0</v>
      </c>
      <c r="O22">
        <f>'CONSOLIDACAO MENSAL FUNSEG'!N37</f>
        <v>0</v>
      </c>
    </row>
    <row r="23" spans="1:15">
      <c r="A23" t="s">
        <v>361</v>
      </c>
      <c r="B23" t="s">
        <v>357</v>
      </c>
      <c r="C23" t="s">
        <v>335</v>
      </c>
      <c r="D23">
        <f>'CONSOLIDACAO MENSAL FECDOJ'!C6</f>
        <v>334422.25</v>
      </c>
      <c r="E23">
        <f>'CONSOLIDACAO MENSAL FECDOJ'!D6</f>
        <v>368398.31</v>
      </c>
      <c r="F23">
        <f>'CONSOLIDACAO MENSAL FECDOJ'!E6</f>
        <v>436896.07</v>
      </c>
      <c r="G23">
        <f>'CONSOLIDACAO MENSAL FECDOJ'!F6</f>
        <v>417860.33</v>
      </c>
      <c r="H23">
        <f>'CONSOLIDACAO MENSAL FECDOJ'!G6</f>
        <v>472151.16</v>
      </c>
      <c r="I23">
        <f>'CONSOLIDACAO MENSAL FECDOJ'!H6</f>
        <v>497436.51</v>
      </c>
      <c r="J23">
        <f>'CONSOLIDACAO MENSAL FECDOJ'!I6</f>
        <v>525433.9</v>
      </c>
      <c r="K23">
        <f>'CONSOLIDACAO MENSAL FECDOJ'!J6</f>
        <v>471772.48</v>
      </c>
      <c r="L23">
        <f>'CONSOLIDACAO MENSAL FECDOJ'!K6</f>
        <v>0</v>
      </c>
      <c r="M23">
        <f>'CONSOLIDACAO MENSAL FECDOJ'!L6</f>
        <v>0</v>
      </c>
      <c r="N23">
        <f>'CONSOLIDACAO MENSAL FECDOJ'!M6</f>
        <v>0</v>
      </c>
      <c r="O23">
        <f>'CONSOLIDACAO MENSAL FECDOJ'!N6</f>
        <v>0</v>
      </c>
    </row>
    <row r="24" spans="1:15">
      <c r="A24" t="s">
        <v>361</v>
      </c>
      <c r="B24" t="s">
        <v>357</v>
      </c>
      <c r="C24" t="s">
        <v>336</v>
      </c>
      <c r="D24">
        <f>'CONSOLIDACAO MENSAL FECDOJ'!C7</f>
        <v>0</v>
      </c>
      <c r="E24">
        <f>'CONSOLIDACAO MENSAL FECDOJ'!D7</f>
        <v>0</v>
      </c>
      <c r="F24">
        <f>'CONSOLIDACAO MENSAL FECDOJ'!E7</f>
        <v>0</v>
      </c>
      <c r="G24">
        <f>'CONSOLIDACAO MENSAL FECDOJ'!F7</f>
        <v>0</v>
      </c>
      <c r="H24">
        <f>'CONSOLIDACAO MENSAL FECDOJ'!G7</f>
        <v>0</v>
      </c>
      <c r="I24">
        <f>'CONSOLIDACAO MENSAL FECDOJ'!H7</f>
        <v>0</v>
      </c>
      <c r="J24">
        <f>'CONSOLIDACAO MENSAL FECDOJ'!I7</f>
        <v>0</v>
      </c>
      <c r="K24">
        <f>'CONSOLIDACAO MENSAL FECDOJ'!J7</f>
        <v>0</v>
      </c>
      <c r="L24">
        <f>'CONSOLIDACAO MENSAL FECDOJ'!K7</f>
        <v>0</v>
      </c>
      <c r="M24">
        <f>'CONSOLIDACAO MENSAL FECDOJ'!L7</f>
        <v>0</v>
      </c>
      <c r="N24">
        <f>'CONSOLIDACAO MENSAL FECDOJ'!M7</f>
        <v>0</v>
      </c>
      <c r="O24">
        <f>'CONSOLIDACAO MENSAL FECDOJ'!N7</f>
        <v>0</v>
      </c>
    </row>
    <row r="25" spans="1:15">
      <c r="A25" t="s">
        <v>361</v>
      </c>
      <c r="B25" t="s">
        <v>357</v>
      </c>
      <c r="C25" t="s">
        <v>337</v>
      </c>
      <c r="D25">
        <f>'CONSOLIDACAO MENSAL FECDOJ'!C8</f>
        <v>0</v>
      </c>
      <c r="E25">
        <f>'CONSOLIDACAO MENSAL FECDOJ'!D8</f>
        <v>0</v>
      </c>
      <c r="F25">
        <f>'CONSOLIDACAO MENSAL FECDOJ'!E8</f>
        <v>0</v>
      </c>
      <c r="G25">
        <f>'CONSOLIDACAO MENSAL FECDOJ'!F8</f>
        <v>0</v>
      </c>
      <c r="H25">
        <f>'CONSOLIDACAO MENSAL FECDOJ'!G8</f>
        <v>0</v>
      </c>
      <c r="I25">
        <f>'CONSOLIDACAO MENSAL FECDOJ'!H8</f>
        <v>0</v>
      </c>
      <c r="J25">
        <f>'CONSOLIDACAO MENSAL FECDOJ'!I8</f>
        <v>0</v>
      </c>
      <c r="K25">
        <f>'CONSOLIDACAO MENSAL FECDOJ'!J8</f>
        <v>0</v>
      </c>
      <c r="L25">
        <f>'CONSOLIDACAO MENSAL FECDOJ'!K8</f>
        <v>0</v>
      </c>
      <c r="M25">
        <f>'CONSOLIDACAO MENSAL FECDOJ'!L8</f>
        <v>0</v>
      </c>
      <c r="N25">
        <f>'CONSOLIDACAO MENSAL FECDOJ'!M8</f>
        <v>0</v>
      </c>
      <c r="O25">
        <f>'CONSOLIDACAO MENSAL FECDOJ'!N8</f>
        <v>0</v>
      </c>
    </row>
    <row r="26" spans="1:15">
      <c r="A26" t="s">
        <v>361</v>
      </c>
      <c r="B26" t="s">
        <v>358</v>
      </c>
      <c r="C26" t="s">
        <v>338</v>
      </c>
      <c r="D26">
        <f>'CONSOLIDACAO MENSAL FECDOJ'!C9</f>
        <v>0</v>
      </c>
      <c r="E26">
        <f>'CONSOLIDACAO MENSAL FECDOJ'!D9</f>
        <v>0</v>
      </c>
      <c r="F26">
        <f>'CONSOLIDACAO MENSAL FECDOJ'!E9</f>
        <v>0</v>
      </c>
      <c r="G26">
        <f>'CONSOLIDACAO MENSAL FECDOJ'!F9</f>
        <v>0</v>
      </c>
      <c r="H26">
        <f>'CONSOLIDACAO MENSAL FECDOJ'!G9</f>
        <v>0</v>
      </c>
      <c r="I26">
        <f>'CONSOLIDACAO MENSAL FECDOJ'!H9</f>
        <v>0</v>
      </c>
      <c r="J26">
        <f>'CONSOLIDACAO MENSAL FECDOJ'!I9</f>
        <v>0</v>
      </c>
      <c r="K26">
        <f>'CONSOLIDACAO MENSAL FECDOJ'!J9</f>
        <v>0</v>
      </c>
      <c r="L26">
        <f>'CONSOLIDACAO MENSAL FECDOJ'!K9</f>
        <v>0</v>
      </c>
      <c r="M26">
        <f>'CONSOLIDACAO MENSAL FECDOJ'!L9</f>
        <v>0</v>
      </c>
      <c r="N26">
        <f>'CONSOLIDACAO MENSAL FECDOJ'!M9</f>
        <v>0</v>
      </c>
      <c r="O26">
        <f>'CONSOLIDACAO MENSAL FECDOJ'!N9</f>
        <v>0</v>
      </c>
    </row>
    <row r="27" spans="1:15">
      <c r="A27" t="s">
        <v>361</v>
      </c>
      <c r="B27" t="s">
        <v>358</v>
      </c>
      <c r="C27" t="s">
        <v>339</v>
      </c>
      <c r="D27">
        <f>'CONSOLIDACAO MENSAL FECDOJ'!C10</f>
        <v>0</v>
      </c>
      <c r="E27">
        <f>'CONSOLIDACAO MENSAL FECDOJ'!D10</f>
        <v>0</v>
      </c>
      <c r="F27">
        <f>'CONSOLIDACAO MENSAL FECDOJ'!E10</f>
        <v>0</v>
      </c>
      <c r="G27">
        <f>'CONSOLIDACAO MENSAL FECDOJ'!F10</f>
        <v>0</v>
      </c>
      <c r="H27">
        <f>'CONSOLIDACAO MENSAL FECDOJ'!G10</f>
        <v>0</v>
      </c>
      <c r="I27">
        <f>'CONSOLIDACAO MENSAL FECDOJ'!H10</f>
        <v>0</v>
      </c>
      <c r="J27">
        <f>'CONSOLIDACAO MENSAL FECDOJ'!I10</f>
        <v>0</v>
      </c>
      <c r="K27">
        <f>'CONSOLIDACAO MENSAL FECDOJ'!J10</f>
        <v>0</v>
      </c>
      <c r="L27">
        <f>'CONSOLIDACAO MENSAL FECDOJ'!K10</f>
        <v>0</v>
      </c>
      <c r="M27">
        <f>'CONSOLIDACAO MENSAL FECDOJ'!L10</f>
        <v>0</v>
      </c>
      <c r="N27">
        <f>'CONSOLIDACAO MENSAL FECDOJ'!M10</f>
        <v>0</v>
      </c>
      <c r="O27">
        <f>'CONSOLIDACAO MENSAL FECDOJ'!N10</f>
        <v>0</v>
      </c>
    </row>
    <row r="28" spans="1:15">
      <c r="A28" t="s">
        <v>361</v>
      </c>
      <c r="B28" t="s">
        <v>359</v>
      </c>
      <c r="C28" t="s">
        <v>297</v>
      </c>
      <c r="D28">
        <f>'CONSOLIDACAO MENSAL FECDOJ'!C32</f>
        <v>0</v>
      </c>
      <c r="E28">
        <f>'CONSOLIDACAO MENSAL FECDOJ'!D32</f>
        <v>0</v>
      </c>
      <c r="F28">
        <f>'CONSOLIDACAO MENSAL FECDOJ'!E32</f>
        <v>0</v>
      </c>
      <c r="G28">
        <f>'CONSOLIDACAO MENSAL FECDOJ'!F32</f>
        <v>0</v>
      </c>
      <c r="H28">
        <f>'CONSOLIDACAO MENSAL FECDOJ'!G32</f>
        <v>0</v>
      </c>
      <c r="I28">
        <f>'CONSOLIDACAO MENSAL FECDOJ'!H32</f>
        <v>0</v>
      </c>
      <c r="J28">
        <f>'CONSOLIDACAO MENSAL FECDOJ'!I32</f>
        <v>0</v>
      </c>
      <c r="K28">
        <f>'CONSOLIDACAO MENSAL FECDOJ'!J32</f>
        <v>0</v>
      </c>
      <c r="L28">
        <f>'CONSOLIDACAO MENSAL FECDOJ'!K32</f>
        <v>0</v>
      </c>
      <c r="M28">
        <f>'CONSOLIDACAO MENSAL FECDOJ'!L32</f>
        <v>0</v>
      </c>
      <c r="N28">
        <f>'CONSOLIDACAO MENSAL FECDOJ'!M32</f>
        <v>0</v>
      </c>
      <c r="O28">
        <f>'CONSOLIDACAO MENSAL FECDOJ'!N32</f>
        <v>0</v>
      </c>
    </row>
    <row r="29" spans="1:15">
      <c r="A29" t="s">
        <v>361</v>
      </c>
      <c r="B29" t="s">
        <v>359</v>
      </c>
      <c r="C29" t="s">
        <v>298</v>
      </c>
      <c r="D29">
        <f>'CONSOLIDACAO MENSAL FECDOJ'!C33</f>
        <v>31936.93</v>
      </c>
      <c r="E29">
        <f>'CONSOLIDACAO MENSAL FECDOJ'!D33</f>
        <v>29114.06</v>
      </c>
      <c r="F29">
        <f>'CONSOLIDACAO MENSAL FECDOJ'!E33</f>
        <v>35179.86</v>
      </c>
      <c r="G29">
        <f>'CONSOLIDACAO MENSAL FECDOJ'!F33</f>
        <v>32471.62</v>
      </c>
      <c r="H29">
        <f>'CONSOLIDACAO MENSAL FECDOJ'!G33</f>
        <v>32410.5</v>
      </c>
      <c r="I29">
        <f>'CONSOLIDACAO MENSAL FECDOJ'!H33</f>
        <v>33299.86</v>
      </c>
      <c r="J29">
        <f>'CONSOLIDACAO MENSAL FECDOJ'!I33</f>
        <v>37420.550000000003</v>
      </c>
      <c r="K29">
        <f>'CONSOLIDACAO MENSAL FECDOJ'!J33</f>
        <v>0</v>
      </c>
      <c r="L29">
        <f>'CONSOLIDACAO MENSAL FECDOJ'!K33</f>
        <v>0</v>
      </c>
      <c r="M29">
        <f>'CONSOLIDACAO MENSAL FECDOJ'!L33</f>
        <v>0</v>
      </c>
      <c r="N29">
        <f>'CONSOLIDACAO MENSAL FECDOJ'!M33</f>
        <v>0</v>
      </c>
      <c r="O29">
        <f>'CONSOLIDACAO MENSAL FECDOJ'!N33</f>
        <v>0</v>
      </c>
    </row>
    <row r="30" spans="1:15">
      <c r="A30" t="s">
        <v>361</v>
      </c>
      <c r="B30" t="s">
        <v>359</v>
      </c>
      <c r="C30" t="s">
        <v>299</v>
      </c>
      <c r="D30">
        <f>'CONSOLIDACAO MENSAL FECDOJ'!C34</f>
        <v>0</v>
      </c>
      <c r="E30">
        <f>'CONSOLIDACAO MENSAL FECDOJ'!D34</f>
        <v>0</v>
      </c>
      <c r="F30">
        <f>'CONSOLIDACAO MENSAL FECDOJ'!E34</f>
        <v>0</v>
      </c>
      <c r="G30">
        <f>'CONSOLIDACAO MENSAL FECDOJ'!F34</f>
        <v>0</v>
      </c>
      <c r="H30">
        <f>'CONSOLIDACAO MENSAL FECDOJ'!G34</f>
        <v>0</v>
      </c>
      <c r="I30">
        <f>'CONSOLIDACAO MENSAL FECDOJ'!H34</f>
        <v>0</v>
      </c>
      <c r="J30">
        <f>'CONSOLIDACAO MENSAL FECDOJ'!I34</f>
        <v>0</v>
      </c>
      <c r="K30">
        <f>'CONSOLIDACAO MENSAL FECDOJ'!J34</f>
        <v>0</v>
      </c>
      <c r="L30">
        <f>'CONSOLIDACAO MENSAL FECDOJ'!K34</f>
        <v>0</v>
      </c>
      <c r="M30">
        <f>'CONSOLIDACAO MENSAL FECDOJ'!L34</f>
        <v>0</v>
      </c>
      <c r="N30">
        <f>'CONSOLIDACAO MENSAL FECDOJ'!M34</f>
        <v>0</v>
      </c>
      <c r="O30">
        <f>'CONSOLIDACAO MENSAL FECDOJ'!N34</f>
        <v>0</v>
      </c>
    </row>
    <row r="31" spans="1:15">
      <c r="A31" t="s">
        <v>361</v>
      </c>
      <c r="B31" t="s">
        <v>359</v>
      </c>
      <c r="C31" t="s">
        <v>300</v>
      </c>
      <c r="D31">
        <f>'CONSOLIDACAO MENSAL FECDOJ'!C35</f>
        <v>0</v>
      </c>
      <c r="E31">
        <f>'CONSOLIDACAO MENSAL FECDOJ'!D35</f>
        <v>0</v>
      </c>
      <c r="F31">
        <f>'CONSOLIDACAO MENSAL FECDOJ'!E35</f>
        <v>0</v>
      </c>
      <c r="G31">
        <f>'CONSOLIDACAO MENSAL FECDOJ'!F35</f>
        <v>0</v>
      </c>
      <c r="H31">
        <f>'CONSOLIDACAO MENSAL FECDOJ'!G35</f>
        <v>0</v>
      </c>
      <c r="I31">
        <f>'CONSOLIDACAO MENSAL FECDOJ'!H35</f>
        <v>0</v>
      </c>
      <c r="J31">
        <f>'CONSOLIDACAO MENSAL FECDOJ'!I35</f>
        <v>0</v>
      </c>
      <c r="K31">
        <f>'CONSOLIDACAO MENSAL FECDOJ'!J35</f>
        <v>0</v>
      </c>
      <c r="L31">
        <f>'CONSOLIDACAO MENSAL FECDOJ'!K35</f>
        <v>0</v>
      </c>
      <c r="M31">
        <f>'CONSOLIDACAO MENSAL FECDOJ'!L35</f>
        <v>0</v>
      </c>
      <c r="N31">
        <f>'CONSOLIDACAO MENSAL FECDOJ'!M35</f>
        <v>0</v>
      </c>
      <c r="O31">
        <f>'CONSOLIDACAO MENSAL FECDOJ'!N35</f>
        <v>0</v>
      </c>
    </row>
    <row r="32" spans="1:15">
      <c r="A32" t="s">
        <v>361</v>
      </c>
      <c r="B32" t="s">
        <v>359</v>
      </c>
      <c r="C32" t="s">
        <v>301</v>
      </c>
      <c r="D32">
        <f>'CONSOLIDACAO MENSAL FECDOJ'!C36</f>
        <v>0</v>
      </c>
      <c r="E32">
        <f>'CONSOLIDACAO MENSAL FECDOJ'!D36</f>
        <v>0</v>
      </c>
      <c r="F32">
        <f>'CONSOLIDACAO MENSAL FECDOJ'!E36</f>
        <v>0</v>
      </c>
      <c r="G32">
        <f>'CONSOLIDACAO MENSAL FECDOJ'!F36</f>
        <v>0</v>
      </c>
      <c r="H32">
        <f>'CONSOLIDACAO MENSAL FECDOJ'!G36</f>
        <v>0</v>
      </c>
      <c r="I32">
        <f>'CONSOLIDACAO MENSAL FECDOJ'!H36</f>
        <v>0</v>
      </c>
      <c r="J32">
        <f>'CONSOLIDACAO MENSAL FECDOJ'!I36</f>
        <v>0</v>
      </c>
      <c r="K32">
        <f>'CONSOLIDACAO MENSAL FECDOJ'!J36</f>
        <v>0</v>
      </c>
      <c r="L32">
        <f>'CONSOLIDACAO MENSAL FECDOJ'!K36</f>
        <v>0</v>
      </c>
      <c r="M32">
        <f>'CONSOLIDACAO MENSAL FECDOJ'!L36</f>
        <v>0</v>
      </c>
      <c r="N32">
        <f>'CONSOLIDACAO MENSAL FECDOJ'!M36</f>
        <v>0</v>
      </c>
      <c r="O32">
        <f>'CONSOLIDACAO MENSAL FECDOJ'!N36</f>
        <v>0</v>
      </c>
    </row>
    <row r="37" spans="2:2">
      <c r="B37" t="s">
        <v>357</v>
      </c>
    </row>
    <row r="38" spans="2:2">
      <c r="B38" t="s">
        <v>358</v>
      </c>
    </row>
    <row r="39" spans="2:2">
      <c r="B39" t="s">
        <v>359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06BD396820B41B1E436386703C23D" ma:contentTypeVersion="11" ma:contentTypeDescription="Create a new document." ma:contentTypeScope="" ma:versionID="dad300dcb1d96973d5f4e6612af30c14">
  <xsd:schema xmlns:xsd="http://www.w3.org/2001/XMLSchema" xmlns:xs="http://www.w3.org/2001/XMLSchema" xmlns:p="http://schemas.microsoft.com/office/2006/metadata/properties" xmlns:ns2="ea649e59-7d5a-4e1b-8184-e3f236f74c94" xmlns:ns3="c2cad97d-3a12-43e5-9837-e74388812c33" targetNamespace="http://schemas.microsoft.com/office/2006/metadata/properties" ma:root="true" ma:fieldsID="116732fed5d0ffed64d047e088ad6c95" ns2:_="" ns3:_="">
    <xsd:import namespace="ea649e59-7d5a-4e1b-8184-e3f236f74c94"/>
    <xsd:import namespace="c2cad97d-3a12-43e5-9837-e74388812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49e59-7d5a-4e1b-8184-e3f236f74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3ac0bc3-a1af-4ce3-9287-6c32e51b9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ad97d-3a12-43e5-9837-e74388812c3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8f1d0a5-acbf-4f21-9b36-c631e0538534}" ma:internalName="TaxCatchAll" ma:showField="CatchAllData" ma:web="c2cad97d-3a12-43e5-9837-e74388812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649e59-7d5a-4e1b-8184-e3f236f74c94">
      <Terms xmlns="http://schemas.microsoft.com/office/infopath/2007/PartnerControls"/>
    </lcf76f155ced4ddcb4097134ff3c332f>
    <TaxCatchAll xmlns="c2cad97d-3a12-43e5-9837-e74388812c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D02A27-D447-49E2-BB37-DE8E0847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649e59-7d5a-4e1b-8184-e3f236f74c94"/>
    <ds:schemaRef ds:uri="c2cad97d-3a12-43e5-9837-e74388812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75C0AE-3EE2-4C53-924F-DC00CB262F29}">
  <ds:schemaRefs>
    <ds:schemaRef ds:uri="http://schemas.microsoft.com/office/2006/metadata/properties"/>
    <ds:schemaRef ds:uri="http://schemas.microsoft.com/office/infopath/2007/PartnerControls"/>
    <ds:schemaRef ds:uri="ea649e59-7d5a-4e1b-8184-e3f236f74c94"/>
    <ds:schemaRef ds:uri="c2cad97d-3a12-43e5-9837-e74388812c33"/>
  </ds:schemaRefs>
</ds:datastoreItem>
</file>

<file path=customXml/itemProps3.xml><?xml version="1.0" encoding="utf-8"?>
<ds:datastoreItem xmlns:ds="http://schemas.openxmlformats.org/officeDocument/2006/customXml" ds:itemID="{88F76951-10F5-49F8-810B-3AB5477774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1__POR_RECEITA_DETALHADA</vt:lpstr>
      <vt:lpstr>1. CONSOLIDAÇÃO_MENSAL 2024</vt:lpstr>
      <vt:lpstr>Planilha1</vt:lpstr>
      <vt:lpstr>CONSOLIDAÇÃO MENSAL FERMOJU 202</vt:lpstr>
      <vt:lpstr>CONSOLIDACAO MENSAL FUNSEG</vt:lpstr>
      <vt:lpstr>CONSOLIDACAO MENSAL FECDOJ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Freire de Castro</dc:creator>
  <cp:keywords/>
  <dc:description/>
  <cp:lastModifiedBy>Karen Eduarda</cp:lastModifiedBy>
  <cp:revision>779</cp:revision>
  <dcterms:created xsi:type="dcterms:W3CDTF">2024-11-01T06:28:52Z</dcterms:created>
  <dcterms:modified xsi:type="dcterms:W3CDTF">2026-09-03T17:30:01Z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ntentTypeId">
    <vt:lpwstr>0x01010094006BD396820B41B1E436386703C23D</vt:lpwstr>
  </property>
  <property fmtid="{D5CDD505-2E9C-101B-9397-08002B2CF9AE}" pid="7" name="MediaServiceImageTags">
    <vt:lpwstr/>
  </property>
</Properties>
</file>