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em\Downloads\"/>
    </mc:Choice>
  </mc:AlternateContent>
  <xr:revisionPtr revIDLastSave="0" documentId="13_ncr:1_{2E0A54CC-6274-40DD-B574-F8A866312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Sheet1!$A$1:$AC$91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</calcChain>
</file>

<file path=xl/sharedStrings.xml><?xml version="1.0" encoding="utf-8"?>
<sst xmlns="http://schemas.openxmlformats.org/spreadsheetml/2006/main" count="29" uniqueCount="29">
  <si>
    <t>Data</t>
  </si>
  <si>
    <t>Dias úteis</t>
  </si>
  <si>
    <t>Tipo Extra Judiciais</t>
  </si>
  <si>
    <t>Tipo Judiciais</t>
  </si>
  <si>
    <t>Arrecadado</t>
  </si>
  <si>
    <t>Casos novos</t>
  </si>
  <si>
    <t>Magistrados</t>
  </si>
  <si>
    <t>Servidores</t>
  </si>
  <si>
    <t>Inpc (%)</t>
  </si>
  <si>
    <t>Ipca (%)</t>
  </si>
  <si>
    <t>IGP-M</t>
  </si>
  <si>
    <t>Selic (%)</t>
  </si>
  <si>
    <t>Desemprego</t>
  </si>
  <si>
    <t>ibcr_ce</t>
  </si>
  <si>
    <t>pib</t>
  </si>
  <si>
    <t>imoveis_registros</t>
  </si>
  <si>
    <t>Qtde_Atos</t>
  </si>
  <si>
    <t>Valor Documento Atos</t>
  </si>
  <si>
    <t>Valor Emolumento Atos</t>
  </si>
  <si>
    <t>Valor Fermoju Atos</t>
  </si>
  <si>
    <t>Valor Selo Atos</t>
  </si>
  <si>
    <t>Disponibilidade fermoju</t>
  </si>
  <si>
    <t>Precatorio</t>
  </si>
  <si>
    <t>Saldos</t>
  </si>
  <si>
    <t>Tipo Rendimento</t>
  </si>
  <si>
    <t>Casos Baixados</t>
  </si>
  <si>
    <t>Casos Julgados</t>
  </si>
  <si>
    <t>Desembargador</t>
  </si>
  <si>
    <t>Terceirizados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</si>
</sst>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"/>
  <sheetViews>
    <sheetView tabSelected="1" workbookViewId="0">
      <selection activeCell="Z23" sqref="Z23:Z85"/>
    </sheetView>
  </sheetViews>
  <sheetFormatPr defaultRowHeight="14.4" x14ac:dyDescent="0.3"/>
  <cols>
    <col min="1" max="1" width="18.33203125" bestFit="1" customWidth="1"/>
    <col min="2" max="2" width="9.5546875" bestFit="1" customWidth="1"/>
    <col min="3" max="3" width="22.44140625" bestFit="1" customWidth="1"/>
    <col min="4" max="4" width="17.33203125" bestFit="1" customWidth="1"/>
    <col min="5" max="5" width="21" bestFit="1" customWidth="1"/>
    <col min="6" max="6" width="15.6640625" bestFit="1" customWidth="1"/>
    <col min="7" max="7" width="14.44140625" bestFit="1" customWidth="1"/>
    <col min="8" max="8" width="11.6640625" bestFit="1" customWidth="1"/>
    <col min="9" max="9" width="14.109375" bestFit="1" customWidth="1"/>
    <col min="10" max="10" width="11.88671875" bestFit="1" customWidth="1"/>
    <col min="11" max="11" width="10.44140625" bestFit="1" customWidth="1"/>
    <col min="12" max="12" width="15.109375" bestFit="1" customWidth="1"/>
    <col min="13" max="13" width="12.6640625" bestFit="1" customWidth="1"/>
    <col min="18" max="18" width="12.33203125" bestFit="1" customWidth="1"/>
    <col min="20" max="20" width="9.109375" style="5"/>
    <col min="21" max="21" width="16.88671875" bestFit="1" customWidth="1"/>
    <col min="22" max="22" width="10.44140625" bestFit="1" customWidth="1"/>
    <col min="23" max="23" width="25" customWidth="1"/>
    <col min="24" max="24" width="22.44140625" bestFit="1" customWidth="1"/>
    <col min="25" max="25" width="18.33203125" bestFit="1" customWidth="1"/>
    <col min="26" max="26" width="14.5546875" bestFit="1" customWidth="1"/>
    <col min="27" max="27" width="23" bestFit="1" customWidth="1"/>
    <col min="28" max="28" width="12.6640625" bestFit="1" customWidth="1"/>
    <col min="29" max="29" width="12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  <c r="G1" s="1" t="s">
        <v>25</v>
      </c>
      <c r="H1" s="1" t="s">
        <v>5</v>
      </c>
      <c r="I1" s="1" t="s">
        <v>26</v>
      </c>
      <c r="J1" s="1" t="s">
        <v>6</v>
      </c>
      <c r="K1" s="1" t="s">
        <v>7</v>
      </c>
      <c r="L1" s="1" t="s">
        <v>27</v>
      </c>
      <c r="M1" s="1" t="s">
        <v>28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4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</row>
    <row r="2" spans="1:29" x14ac:dyDescent="0.3">
      <c r="A2" s="2">
        <v>43466</v>
      </c>
      <c r="B2">
        <v>22</v>
      </c>
      <c r="C2">
        <v>4681817.5599999996</v>
      </c>
      <c r="D2">
        <v>5356847.1900000004</v>
      </c>
      <c r="E2">
        <v>931689.53999999992</v>
      </c>
      <c r="F2" s="6">
        <f>SUM(C2:E2)</f>
        <v>10970354.289999999</v>
      </c>
      <c r="G2">
        <v>33624</v>
      </c>
      <c r="H2">
        <v>59422</v>
      </c>
      <c r="I2">
        <v>32660</v>
      </c>
      <c r="J2" s="3">
        <v>425</v>
      </c>
      <c r="K2" s="3">
        <v>4730</v>
      </c>
      <c r="L2" s="3">
        <v>93</v>
      </c>
      <c r="M2" s="3">
        <v>3615</v>
      </c>
      <c r="N2">
        <v>5.0000000000000001E-3</v>
      </c>
      <c r="O2">
        <v>6.0000000000000001E-3</v>
      </c>
      <c r="P2">
        <v>-2.0000000000000001E-4</v>
      </c>
      <c r="Q2">
        <v>6.5000000000000002E-2</v>
      </c>
      <c r="R2">
        <v>0.12</v>
      </c>
      <c r="S2">
        <v>140.18</v>
      </c>
      <c r="T2" s="5">
        <v>47.3</v>
      </c>
      <c r="U2">
        <v>927.16666666666663</v>
      </c>
      <c r="V2">
        <v>1866989</v>
      </c>
      <c r="W2">
        <v>10605870159.290001</v>
      </c>
      <c r="X2">
        <v>24044947.34</v>
      </c>
      <c r="Y2">
        <v>1905375.54</v>
      </c>
      <c r="Z2">
        <v>2590185.0099999998</v>
      </c>
      <c r="AA2">
        <v>50717753.990000002</v>
      </c>
      <c r="AB2">
        <v>1674392.580000001</v>
      </c>
      <c r="AC2">
        <v>52392146.57</v>
      </c>
    </row>
    <row r="3" spans="1:29" x14ac:dyDescent="0.3">
      <c r="A3" s="2">
        <v>43497</v>
      </c>
      <c r="B3">
        <v>20</v>
      </c>
      <c r="C3">
        <v>4320079.1099999994</v>
      </c>
      <c r="D3">
        <v>5534349.1100000003</v>
      </c>
      <c r="E3">
        <v>1191417.27</v>
      </c>
      <c r="F3" s="6">
        <f t="shared" ref="F3:F66" si="0">SUM(C3:E3)</f>
        <v>11045845.489999998</v>
      </c>
      <c r="G3">
        <v>50044</v>
      </c>
      <c r="H3">
        <v>56025</v>
      </c>
      <c r="I3">
        <v>41196</v>
      </c>
      <c r="J3" s="3">
        <v>425</v>
      </c>
      <c r="K3" s="3">
        <v>4730</v>
      </c>
      <c r="L3" s="3">
        <v>93</v>
      </c>
      <c r="M3" s="3">
        <v>3640</v>
      </c>
      <c r="N3">
        <v>3.5000000000000001E-3</v>
      </c>
      <c r="O3">
        <v>4.0999999999999986E-3</v>
      </c>
      <c r="P3">
        <v>4.0999999999999986E-3</v>
      </c>
      <c r="Q3">
        <v>6.3200000000000006E-2</v>
      </c>
      <c r="R3">
        <v>0.11899999999999999</v>
      </c>
      <c r="S3">
        <v>139.04</v>
      </c>
      <c r="T3" s="5">
        <v>47.3</v>
      </c>
      <c r="U3">
        <v>927.16666666666663</v>
      </c>
      <c r="V3">
        <v>1780204</v>
      </c>
      <c r="W3">
        <v>38046522681.82</v>
      </c>
      <c r="X3">
        <v>24076829.440000001</v>
      </c>
      <c r="Y3">
        <v>1833593.59</v>
      </c>
      <c r="Z3">
        <v>2474847.4900000002</v>
      </c>
      <c r="AA3">
        <v>65502219.539999999</v>
      </c>
      <c r="AB3">
        <v>1339279.180000002</v>
      </c>
      <c r="AC3">
        <v>66841498.719999991</v>
      </c>
    </row>
    <row r="4" spans="1:29" x14ac:dyDescent="0.3">
      <c r="A4" s="2">
        <v>43525</v>
      </c>
      <c r="B4">
        <v>18</v>
      </c>
      <c r="C4">
        <v>3738567.2199999997</v>
      </c>
      <c r="D4">
        <v>4370715.84</v>
      </c>
      <c r="E4">
        <v>26624067.210000001</v>
      </c>
      <c r="F4" s="6">
        <f t="shared" si="0"/>
        <v>34733350.270000003</v>
      </c>
      <c r="G4">
        <v>46038</v>
      </c>
      <c r="H4">
        <v>47714</v>
      </c>
      <c r="I4">
        <v>33812</v>
      </c>
      <c r="J4" s="3">
        <v>425</v>
      </c>
      <c r="K4" s="3">
        <v>4730</v>
      </c>
      <c r="L4" s="3">
        <v>93</v>
      </c>
      <c r="M4" s="3">
        <v>3652</v>
      </c>
      <c r="N4">
        <v>6.5000000000000006E-3</v>
      </c>
      <c r="O4">
        <v>6.4000000000000003E-3</v>
      </c>
      <c r="P4">
        <v>2.0999999999999999E-3</v>
      </c>
      <c r="Q4">
        <v>6.1400000000000003E-2</v>
      </c>
      <c r="R4">
        <v>0.11799999999999999</v>
      </c>
      <c r="S4">
        <v>139.35</v>
      </c>
      <c r="T4" s="5">
        <v>47.3</v>
      </c>
      <c r="U4">
        <v>927.16666666666663</v>
      </c>
      <c r="V4">
        <v>1499640</v>
      </c>
      <c r="W4">
        <v>88188887554.630005</v>
      </c>
      <c r="X4">
        <v>20920844.91</v>
      </c>
      <c r="Y4">
        <v>1617737.71</v>
      </c>
      <c r="Z4">
        <v>2134405.0099999998</v>
      </c>
      <c r="AA4">
        <v>72811678.780000001</v>
      </c>
      <c r="AB4">
        <v>2445041.8999999948</v>
      </c>
      <c r="AC4">
        <v>75256720.679999962</v>
      </c>
    </row>
    <row r="5" spans="1:29" x14ac:dyDescent="0.3">
      <c r="A5" s="2">
        <v>43556</v>
      </c>
      <c r="B5">
        <v>21</v>
      </c>
      <c r="C5">
        <v>5477596.2999999998</v>
      </c>
      <c r="D5">
        <v>5773619.5999999996</v>
      </c>
      <c r="E5">
        <v>13917771.929999998</v>
      </c>
      <c r="F5" s="6">
        <f t="shared" si="0"/>
        <v>25168987.829999998</v>
      </c>
      <c r="G5">
        <v>61778</v>
      </c>
      <c r="H5">
        <v>60286</v>
      </c>
      <c r="I5">
        <v>45155</v>
      </c>
      <c r="J5" s="3">
        <v>425</v>
      </c>
      <c r="K5" s="3">
        <v>4730</v>
      </c>
      <c r="L5" s="3">
        <v>93</v>
      </c>
      <c r="M5" s="3">
        <v>3674</v>
      </c>
      <c r="N5">
        <v>8.6E-3</v>
      </c>
      <c r="O5">
        <v>9.1000000000000004E-3</v>
      </c>
      <c r="P5">
        <v>6.7000000000000002E-3</v>
      </c>
      <c r="Q5">
        <v>5.9499999999999997E-2</v>
      </c>
      <c r="R5">
        <v>0.11700000000000001</v>
      </c>
      <c r="S5">
        <v>138.53</v>
      </c>
      <c r="T5" s="5">
        <v>48.1</v>
      </c>
      <c r="U5">
        <v>927.16666666666663</v>
      </c>
      <c r="V5">
        <v>1728350</v>
      </c>
      <c r="W5">
        <v>112457903744.38</v>
      </c>
      <c r="X5">
        <v>25858122.800000001</v>
      </c>
      <c r="Y5">
        <v>1955166.59</v>
      </c>
      <c r="Z5">
        <v>2496383.2200000002</v>
      </c>
      <c r="AA5">
        <v>73414590.359999999</v>
      </c>
      <c r="AB5">
        <v>4186215.6799999988</v>
      </c>
      <c r="AC5">
        <v>77600806.040000007</v>
      </c>
    </row>
    <row r="6" spans="1:29" x14ac:dyDescent="0.3">
      <c r="A6" s="2">
        <v>43586</v>
      </c>
      <c r="B6">
        <v>22</v>
      </c>
      <c r="C6">
        <v>4621078.16</v>
      </c>
      <c r="D6">
        <v>6381435.0499999998</v>
      </c>
      <c r="E6">
        <v>2885605.74</v>
      </c>
      <c r="F6" s="6">
        <f t="shared" si="0"/>
        <v>13888118.950000001</v>
      </c>
      <c r="G6">
        <v>72689</v>
      </c>
      <c r="H6">
        <v>67622</v>
      </c>
      <c r="I6">
        <v>48702</v>
      </c>
      <c r="J6" s="3">
        <v>425</v>
      </c>
      <c r="K6" s="3">
        <v>4730</v>
      </c>
      <c r="L6" s="3">
        <v>93</v>
      </c>
      <c r="M6" s="3">
        <v>3722</v>
      </c>
      <c r="N6">
        <v>2.2000000000000001E-3</v>
      </c>
      <c r="O6">
        <v>3.8E-3</v>
      </c>
      <c r="P6">
        <v>2.4500000000000001E-2</v>
      </c>
      <c r="Q6">
        <v>5.7699999999999987E-2</v>
      </c>
      <c r="R6">
        <v>0.11600000000000001</v>
      </c>
      <c r="S6">
        <v>140.19999999999999</v>
      </c>
      <c r="T6" s="5">
        <v>48.1</v>
      </c>
      <c r="U6">
        <v>927.16666666666663</v>
      </c>
      <c r="V6">
        <v>0</v>
      </c>
      <c r="W6">
        <v>0</v>
      </c>
      <c r="X6">
        <v>0</v>
      </c>
      <c r="Y6">
        <v>0</v>
      </c>
      <c r="Z6">
        <v>0</v>
      </c>
      <c r="AA6">
        <v>76630257.120000005</v>
      </c>
      <c r="AB6">
        <v>8597456.5899999999</v>
      </c>
      <c r="AC6">
        <v>85227713.710000023</v>
      </c>
    </row>
    <row r="7" spans="1:29" x14ac:dyDescent="0.3">
      <c r="A7" s="2">
        <v>43617</v>
      </c>
      <c r="B7">
        <v>19</v>
      </c>
      <c r="C7">
        <v>4134337.39</v>
      </c>
      <c r="D7">
        <v>4936108.67</v>
      </c>
      <c r="E7">
        <v>3140939.79</v>
      </c>
      <c r="F7" s="6">
        <f t="shared" si="0"/>
        <v>12211385.850000001</v>
      </c>
      <c r="G7">
        <v>57192</v>
      </c>
      <c r="H7">
        <v>56577</v>
      </c>
      <c r="I7">
        <v>46897</v>
      </c>
      <c r="J7" s="3">
        <v>425</v>
      </c>
      <c r="K7" s="3">
        <v>4730</v>
      </c>
      <c r="L7" s="3">
        <v>93</v>
      </c>
      <c r="M7" s="3">
        <v>3758</v>
      </c>
      <c r="N7">
        <v>3.8999999999999998E-3</v>
      </c>
      <c r="O7">
        <v>3.8E-3</v>
      </c>
      <c r="P7">
        <v>-8.8999999999999999E-3</v>
      </c>
      <c r="Q7">
        <v>5.5899999999999998E-2</v>
      </c>
      <c r="R7">
        <v>0.115</v>
      </c>
      <c r="S7">
        <v>140.18</v>
      </c>
      <c r="T7" s="5">
        <v>48.1</v>
      </c>
      <c r="U7">
        <v>927.16666666666663</v>
      </c>
      <c r="V7">
        <v>0</v>
      </c>
      <c r="W7">
        <v>0</v>
      </c>
      <c r="X7">
        <v>0</v>
      </c>
      <c r="Y7">
        <v>0</v>
      </c>
      <c r="Z7">
        <v>0</v>
      </c>
      <c r="AA7">
        <v>75190562.969999999</v>
      </c>
      <c r="AB7">
        <v>2374877.950000003</v>
      </c>
      <c r="AC7">
        <v>77565440.919999987</v>
      </c>
    </row>
    <row r="8" spans="1:29" x14ac:dyDescent="0.3">
      <c r="A8" s="2">
        <v>43647</v>
      </c>
      <c r="B8">
        <v>23</v>
      </c>
      <c r="C8">
        <v>5427731.6099999994</v>
      </c>
      <c r="D8">
        <v>6421781.29</v>
      </c>
      <c r="E8">
        <v>3174638.7899999996</v>
      </c>
      <c r="F8" s="6">
        <f t="shared" si="0"/>
        <v>15024151.689999998</v>
      </c>
      <c r="G8">
        <v>61628</v>
      </c>
      <c r="H8">
        <v>64512</v>
      </c>
      <c r="I8">
        <v>50953</v>
      </c>
      <c r="J8" s="3">
        <v>425</v>
      </c>
      <c r="K8" s="3">
        <v>4730</v>
      </c>
      <c r="L8" s="3">
        <v>93</v>
      </c>
      <c r="M8" s="3">
        <v>3796</v>
      </c>
      <c r="N8">
        <v>8.1000000000000013E-3</v>
      </c>
      <c r="O8">
        <v>9.1999999999999998E-3</v>
      </c>
      <c r="P8">
        <v>1.15E-2</v>
      </c>
      <c r="Q8">
        <v>5.4100000000000002E-2</v>
      </c>
      <c r="R8">
        <v>0.115</v>
      </c>
      <c r="S8">
        <v>139.13999999999999</v>
      </c>
      <c r="T8" s="5">
        <v>49</v>
      </c>
      <c r="U8">
        <v>927.16666666666663</v>
      </c>
      <c r="V8">
        <v>0</v>
      </c>
      <c r="W8">
        <v>0</v>
      </c>
      <c r="X8">
        <v>0</v>
      </c>
      <c r="Y8">
        <v>0</v>
      </c>
      <c r="Z8">
        <v>0</v>
      </c>
      <c r="AA8">
        <v>73947847.090000004</v>
      </c>
      <c r="AB8">
        <v>818870.56999999972</v>
      </c>
      <c r="AC8">
        <v>74766717.659999982</v>
      </c>
    </row>
    <row r="9" spans="1:29" x14ac:dyDescent="0.3">
      <c r="A9" s="2">
        <v>43678</v>
      </c>
      <c r="B9">
        <v>21</v>
      </c>
      <c r="C9">
        <v>4165101.9299999997</v>
      </c>
      <c r="D9">
        <v>6462197.71</v>
      </c>
      <c r="E9">
        <v>3577004.91</v>
      </c>
      <c r="F9" s="6">
        <f t="shared" si="0"/>
        <v>14204304.550000001</v>
      </c>
      <c r="G9">
        <v>63364</v>
      </c>
      <c r="H9">
        <v>65614</v>
      </c>
      <c r="I9">
        <v>49911</v>
      </c>
      <c r="J9" s="3">
        <v>425</v>
      </c>
      <c r="K9" s="3">
        <v>4730</v>
      </c>
      <c r="L9" s="3">
        <v>93</v>
      </c>
      <c r="M9" s="3">
        <v>3867</v>
      </c>
      <c r="N9">
        <v>7.3000000000000001E-3</v>
      </c>
      <c r="O9">
        <v>6.7999999999999996E-3</v>
      </c>
      <c r="P9">
        <v>-6.8999999999999999E-3</v>
      </c>
      <c r="Q9">
        <v>5.2300000000000013E-2</v>
      </c>
      <c r="R9">
        <v>0.114</v>
      </c>
      <c r="S9">
        <v>138.86000000000001</v>
      </c>
      <c r="T9" s="5">
        <v>49</v>
      </c>
      <c r="U9">
        <v>927.16666666666663</v>
      </c>
      <c r="V9">
        <v>0</v>
      </c>
      <c r="W9">
        <v>0</v>
      </c>
      <c r="X9">
        <v>0</v>
      </c>
      <c r="Y9">
        <v>0</v>
      </c>
      <c r="Z9">
        <v>0</v>
      </c>
      <c r="AA9">
        <v>76224108.370000005</v>
      </c>
      <c r="AB9">
        <v>1524168.73</v>
      </c>
      <c r="AC9">
        <v>77748277.100000024</v>
      </c>
    </row>
    <row r="10" spans="1:29" x14ac:dyDescent="0.3">
      <c r="A10" s="2">
        <v>43709</v>
      </c>
      <c r="B10">
        <v>21</v>
      </c>
      <c r="C10">
        <v>4560091.12</v>
      </c>
      <c r="D10">
        <v>6226737.46</v>
      </c>
      <c r="E10">
        <v>3062836.11</v>
      </c>
      <c r="F10" s="6">
        <f t="shared" si="0"/>
        <v>13849664.689999999</v>
      </c>
      <c r="G10">
        <v>73313</v>
      </c>
      <c r="H10">
        <v>63706</v>
      </c>
      <c r="I10">
        <v>48019</v>
      </c>
      <c r="J10" s="3">
        <v>425</v>
      </c>
      <c r="K10" s="3">
        <v>4730</v>
      </c>
      <c r="L10" s="3">
        <v>93</v>
      </c>
      <c r="M10" s="3">
        <v>3902</v>
      </c>
      <c r="N10">
        <v>2.2000000000000001E-3</v>
      </c>
      <c r="O10">
        <v>3.0999999999999999E-3</v>
      </c>
      <c r="P10">
        <v>2.2000000000000001E-3</v>
      </c>
      <c r="Q10">
        <v>5.0500000000000003E-2</v>
      </c>
      <c r="R10">
        <v>0.113</v>
      </c>
      <c r="S10">
        <v>139.66999999999999</v>
      </c>
      <c r="T10" s="5">
        <v>49</v>
      </c>
      <c r="U10">
        <v>927.16666666666663</v>
      </c>
      <c r="V10">
        <v>1588740</v>
      </c>
      <c r="W10">
        <v>93919538337.080002</v>
      </c>
      <c r="X10">
        <v>25532557.75</v>
      </c>
      <c r="Y10">
        <v>1955908.86</v>
      </c>
      <c r="Z10">
        <v>2412966.52</v>
      </c>
      <c r="AA10">
        <v>78452868.780000001</v>
      </c>
      <c r="AB10">
        <v>6322506.5299999956</v>
      </c>
      <c r="AC10">
        <v>84775375.310000002</v>
      </c>
    </row>
    <row r="11" spans="1:29" x14ac:dyDescent="0.3">
      <c r="A11" s="2">
        <v>43739</v>
      </c>
      <c r="B11">
        <v>23</v>
      </c>
      <c r="C11">
        <v>5019035.5999999996</v>
      </c>
      <c r="D11">
        <v>6573784.0899999999</v>
      </c>
      <c r="E11">
        <v>2910261.75</v>
      </c>
      <c r="F11" s="6">
        <f t="shared" si="0"/>
        <v>14503081.439999999</v>
      </c>
      <c r="G11">
        <v>98525</v>
      </c>
      <c r="H11">
        <v>65582</v>
      </c>
      <c r="I11">
        <v>62840</v>
      </c>
      <c r="J11" s="3">
        <v>425</v>
      </c>
      <c r="K11" s="3">
        <v>4730</v>
      </c>
      <c r="L11" s="3">
        <v>93</v>
      </c>
      <c r="M11" s="3">
        <v>3913</v>
      </c>
      <c r="N11">
        <v>7.6E-3</v>
      </c>
      <c r="O11">
        <v>6.1000000000000004E-3</v>
      </c>
      <c r="P11">
        <v>1.47E-2</v>
      </c>
      <c r="Q11">
        <v>4.8599999999999997E-2</v>
      </c>
      <c r="R11">
        <v>0.112</v>
      </c>
      <c r="S11">
        <v>139.03</v>
      </c>
      <c r="T11" s="5">
        <v>49.8</v>
      </c>
      <c r="U11">
        <v>927.16666666666663</v>
      </c>
      <c r="V11">
        <v>1739051</v>
      </c>
      <c r="W11">
        <v>46548456785.940002</v>
      </c>
      <c r="X11">
        <v>28283765</v>
      </c>
      <c r="Y11">
        <v>2246344.81</v>
      </c>
      <c r="Z11">
        <v>2691131.71</v>
      </c>
      <c r="AA11">
        <v>82189501.560000002</v>
      </c>
      <c r="AB11">
        <v>2442081.9999999958</v>
      </c>
      <c r="AC11">
        <v>84631583.560000002</v>
      </c>
    </row>
    <row r="12" spans="1:29" x14ac:dyDescent="0.3">
      <c r="A12" s="2">
        <v>43770</v>
      </c>
      <c r="B12">
        <v>20</v>
      </c>
      <c r="C12">
        <v>4083500.41</v>
      </c>
      <c r="D12">
        <v>6422749.6900000004</v>
      </c>
      <c r="E12">
        <v>3361979.07</v>
      </c>
      <c r="F12" s="6">
        <f t="shared" si="0"/>
        <v>13868229.170000002</v>
      </c>
      <c r="G12">
        <v>68418</v>
      </c>
      <c r="H12">
        <v>60909</v>
      </c>
      <c r="I12">
        <v>44760</v>
      </c>
      <c r="J12" s="3">
        <v>425</v>
      </c>
      <c r="K12" s="3">
        <v>4730</v>
      </c>
      <c r="L12" s="3">
        <v>93</v>
      </c>
      <c r="M12" s="3">
        <v>4015</v>
      </c>
      <c r="N12">
        <v>2.3E-3</v>
      </c>
      <c r="O12">
        <v>3.0999999999999999E-3</v>
      </c>
      <c r="P12">
        <v>6.5000000000000006E-3</v>
      </c>
      <c r="Q12">
        <v>4.6799999999999987E-2</v>
      </c>
      <c r="R12">
        <v>0.111</v>
      </c>
      <c r="S12">
        <v>138</v>
      </c>
      <c r="T12" s="5">
        <v>49.8</v>
      </c>
      <c r="U12">
        <v>927.16666666666663</v>
      </c>
      <c r="V12">
        <v>1520928</v>
      </c>
      <c r="W12">
        <v>9197305990.7299995</v>
      </c>
      <c r="X12">
        <v>26640496.16</v>
      </c>
      <c r="Y12">
        <v>2007854.16</v>
      </c>
      <c r="Z12">
        <v>2349467.56</v>
      </c>
      <c r="AA12">
        <v>84083735.709999993</v>
      </c>
      <c r="AB12">
        <v>569170.32999999856</v>
      </c>
      <c r="AC12">
        <v>84652906.039999992</v>
      </c>
    </row>
    <row r="13" spans="1:29" x14ac:dyDescent="0.3">
      <c r="A13" s="2">
        <v>43800</v>
      </c>
      <c r="B13">
        <v>21</v>
      </c>
      <c r="C13">
        <v>4817882.6099999994</v>
      </c>
      <c r="D13">
        <v>4656317.97</v>
      </c>
      <c r="E13">
        <v>2502634.5300000003</v>
      </c>
      <c r="F13" s="6">
        <f t="shared" si="0"/>
        <v>11976835.109999999</v>
      </c>
      <c r="G13">
        <v>50193</v>
      </c>
      <c r="H13">
        <v>45749</v>
      </c>
      <c r="I13">
        <v>35593</v>
      </c>
      <c r="J13" s="3">
        <v>425</v>
      </c>
      <c r="K13" s="3">
        <v>4730</v>
      </c>
      <c r="L13" s="3">
        <v>93</v>
      </c>
      <c r="M13" s="3">
        <v>4035</v>
      </c>
      <c r="N13">
        <v>2.8E-3</v>
      </c>
      <c r="O13">
        <v>3.0999999999999999E-3</v>
      </c>
      <c r="P13">
        <v>-2.5999999999999999E-3</v>
      </c>
      <c r="Q13">
        <v>4.4999999999999998E-2</v>
      </c>
      <c r="R13">
        <v>0.11</v>
      </c>
      <c r="S13">
        <v>138.56</v>
      </c>
      <c r="T13" s="5">
        <v>49.8</v>
      </c>
      <c r="U13">
        <v>927.16666666666663</v>
      </c>
      <c r="V13">
        <v>1469281</v>
      </c>
      <c r="W13">
        <v>59972432977.289993</v>
      </c>
      <c r="X13">
        <v>27554020.710000001</v>
      </c>
      <c r="Y13">
        <v>2154039.9900000002</v>
      </c>
      <c r="Z13">
        <v>2335409.62</v>
      </c>
      <c r="AA13">
        <v>72424979.930000007</v>
      </c>
      <c r="AB13">
        <v>2912927.9500000132</v>
      </c>
      <c r="AC13">
        <v>75337907.88000004</v>
      </c>
    </row>
    <row r="14" spans="1:29" x14ac:dyDescent="0.3">
      <c r="A14" s="2">
        <v>43831</v>
      </c>
      <c r="B14">
        <v>22</v>
      </c>
      <c r="C14">
        <v>4415831.76</v>
      </c>
      <c r="D14">
        <v>5611318.1200000001</v>
      </c>
      <c r="E14">
        <v>952061.12000000011</v>
      </c>
      <c r="F14" s="6">
        <f t="shared" si="0"/>
        <v>10979211</v>
      </c>
      <c r="G14">
        <v>37739</v>
      </c>
      <c r="H14">
        <v>56370</v>
      </c>
      <c r="I14">
        <v>32514</v>
      </c>
      <c r="J14" s="3">
        <v>425</v>
      </c>
      <c r="K14" s="3">
        <v>4730</v>
      </c>
      <c r="L14" s="3">
        <v>93</v>
      </c>
      <c r="M14" s="3">
        <v>4142</v>
      </c>
      <c r="N14">
        <v>4.1999999999999997E-3</v>
      </c>
      <c r="O14">
        <v>3.3999999999999998E-3</v>
      </c>
      <c r="P14">
        <v>2.9999999999999997E-4</v>
      </c>
      <c r="Q14">
        <v>4.2500000000000003E-2</v>
      </c>
      <c r="R14">
        <v>0.112</v>
      </c>
      <c r="S14">
        <v>139.13</v>
      </c>
      <c r="T14" s="5">
        <v>47</v>
      </c>
      <c r="U14">
        <v>1029</v>
      </c>
      <c r="V14">
        <v>1653741</v>
      </c>
      <c r="W14">
        <v>12032384561.27</v>
      </c>
      <c r="X14">
        <v>25977026.66</v>
      </c>
      <c r="Y14">
        <v>2091669.31</v>
      </c>
      <c r="Z14">
        <v>2621502.09</v>
      </c>
      <c r="AA14">
        <v>80042195.760000005</v>
      </c>
      <c r="AB14">
        <v>0</v>
      </c>
      <c r="AC14">
        <v>80042195.760000005</v>
      </c>
    </row>
    <row r="15" spans="1:29" x14ac:dyDescent="0.3">
      <c r="A15" s="2">
        <v>43862</v>
      </c>
      <c r="B15">
        <v>19</v>
      </c>
      <c r="C15">
        <v>4431452.1500000004</v>
      </c>
      <c r="D15">
        <v>6103514.1699999999</v>
      </c>
      <c r="E15">
        <v>682311.6</v>
      </c>
      <c r="F15" s="6">
        <f t="shared" si="0"/>
        <v>11217277.92</v>
      </c>
      <c r="G15">
        <v>47629</v>
      </c>
      <c r="H15">
        <v>47891</v>
      </c>
      <c r="I15">
        <v>39971</v>
      </c>
      <c r="J15" s="3">
        <v>456</v>
      </c>
      <c r="K15" s="3">
        <v>4730</v>
      </c>
      <c r="L15" s="3">
        <v>93</v>
      </c>
      <c r="M15" s="3">
        <v>4176</v>
      </c>
      <c r="N15">
        <v>5.6999999999999993E-3</v>
      </c>
      <c r="O15">
        <v>6.8999999999999999E-3</v>
      </c>
      <c r="P15">
        <v>1.14E-2</v>
      </c>
      <c r="Q15">
        <v>4.0500000000000001E-2</v>
      </c>
      <c r="R15">
        <v>0.115</v>
      </c>
      <c r="S15">
        <v>138.57</v>
      </c>
      <c r="T15" s="5">
        <v>47</v>
      </c>
      <c r="U15">
        <v>1029</v>
      </c>
      <c r="V15">
        <v>1350614</v>
      </c>
      <c r="W15">
        <v>16099112363.08</v>
      </c>
      <c r="X15">
        <v>22037342.039999999</v>
      </c>
      <c r="Y15">
        <v>1702128.11</v>
      </c>
      <c r="Z15">
        <v>2109522.7400000002</v>
      </c>
      <c r="AA15">
        <v>86809631.010000005</v>
      </c>
      <c r="AB15">
        <v>0</v>
      </c>
      <c r="AC15">
        <v>86809631.010000005</v>
      </c>
    </row>
    <row r="16" spans="1:29" x14ac:dyDescent="0.3">
      <c r="A16" s="2">
        <v>43891</v>
      </c>
      <c r="B16">
        <v>20</v>
      </c>
      <c r="C16">
        <v>3382515.77</v>
      </c>
      <c r="D16">
        <v>5607304.9000000004</v>
      </c>
      <c r="E16">
        <v>663013.15</v>
      </c>
      <c r="F16" s="6">
        <f t="shared" si="0"/>
        <v>9652833.8200000003</v>
      </c>
      <c r="G16">
        <v>48217</v>
      </c>
      <c r="H16">
        <v>45388</v>
      </c>
      <c r="I16">
        <v>41301</v>
      </c>
      <c r="J16" s="3">
        <v>456</v>
      </c>
      <c r="K16" s="3">
        <v>4730</v>
      </c>
      <c r="L16" s="3">
        <v>93</v>
      </c>
      <c r="M16" s="3">
        <v>4201</v>
      </c>
      <c r="N16">
        <v>4.0000000000000002E-4</v>
      </c>
      <c r="O16">
        <v>2.0000000000000001E-4</v>
      </c>
      <c r="P16">
        <v>2.0000000000000001E-4</v>
      </c>
      <c r="Q16">
        <v>3.8399999999999997E-2</v>
      </c>
      <c r="R16">
        <v>0.11799999999999999</v>
      </c>
      <c r="S16">
        <v>138.06</v>
      </c>
      <c r="T16" s="5">
        <v>47</v>
      </c>
      <c r="U16">
        <v>1029</v>
      </c>
      <c r="V16">
        <v>1053557</v>
      </c>
      <c r="W16">
        <v>24590279886.25</v>
      </c>
      <c r="X16">
        <v>17770882.359999999</v>
      </c>
      <c r="Y16">
        <v>1392414.45</v>
      </c>
      <c r="Z16">
        <v>1722241.75</v>
      </c>
      <c r="AA16">
        <v>89795644.700000003</v>
      </c>
      <c r="AB16">
        <v>0</v>
      </c>
      <c r="AC16">
        <v>89795644.700000003</v>
      </c>
    </row>
    <row r="17" spans="1:29" x14ac:dyDescent="0.3">
      <c r="A17" s="2">
        <v>43922</v>
      </c>
      <c r="B17">
        <v>20</v>
      </c>
      <c r="C17">
        <v>1207320.9099999999</v>
      </c>
      <c r="D17">
        <v>3354402.63</v>
      </c>
      <c r="E17">
        <v>683474.33</v>
      </c>
      <c r="F17" s="6">
        <f t="shared" si="0"/>
        <v>5245197.87</v>
      </c>
      <c r="G17">
        <v>42033</v>
      </c>
      <c r="H17">
        <v>36718</v>
      </c>
      <c r="I17">
        <v>45375</v>
      </c>
      <c r="J17" s="3">
        <v>456</v>
      </c>
      <c r="K17" s="3">
        <v>4730</v>
      </c>
      <c r="L17" s="3">
        <v>93</v>
      </c>
      <c r="M17" s="3">
        <v>4202</v>
      </c>
      <c r="N17">
        <v>3.0000000000000001E-3</v>
      </c>
      <c r="O17">
        <v>1.6999999999999999E-3</v>
      </c>
      <c r="P17">
        <v>7.7000000000000002E-3</v>
      </c>
      <c r="Q17">
        <v>3.6400000000000002E-2</v>
      </c>
      <c r="R17">
        <v>0.121</v>
      </c>
      <c r="S17">
        <v>138.61000000000001</v>
      </c>
      <c r="T17" s="5">
        <v>44.2</v>
      </c>
      <c r="U17">
        <v>1029</v>
      </c>
      <c r="V17">
        <v>375413</v>
      </c>
      <c r="W17">
        <v>8783543756.6499996</v>
      </c>
      <c r="X17">
        <v>7982983.9800000004</v>
      </c>
      <c r="Y17">
        <v>634903.56000000006</v>
      </c>
      <c r="Z17">
        <v>608769.42000000004</v>
      </c>
      <c r="AA17">
        <v>81760461.730000004</v>
      </c>
      <c r="AB17">
        <v>0</v>
      </c>
      <c r="AC17">
        <v>81760461.730000004</v>
      </c>
    </row>
    <row r="18" spans="1:29" x14ac:dyDescent="0.3">
      <c r="A18" s="2">
        <v>43952</v>
      </c>
      <c r="B18">
        <v>20</v>
      </c>
      <c r="C18">
        <v>1569296.95</v>
      </c>
      <c r="D18">
        <v>5305013.74</v>
      </c>
      <c r="E18">
        <v>726435.9</v>
      </c>
      <c r="F18" s="6">
        <f t="shared" si="0"/>
        <v>7600746.5900000008</v>
      </c>
      <c r="G18">
        <v>30717</v>
      </c>
      <c r="H18">
        <v>35207</v>
      </c>
      <c r="I18">
        <v>39950</v>
      </c>
      <c r="J18" s="3">
        <v>456</v>
      </c>
      <c r="K18" s="3">
        <v>4730</v>
      </c>
      <c r="L18" s="3">
        <v>93</v>
      </c>
      <c r="M18" s="3">
        <v>4247</v>
      </c>
      <c r="N18">
        <v>-2.0000000000000001E-4</v>
      </c>
      <c r="O18">
        <v>1.4E-3</v>
      </c>
      <c r="P18">
        <v>6.4000000000000003E-3</v>
      </c>
      <c r="Q18">
        <v>3.4299999999999997E-2</v>
      </c>
      <c r="R18">
        <v>0.124</v>
      </c>
      <c r="S18">
        <v>136.63999999999999</v>
      </c>
      <c r="T18" s="5">
        <v>44.2</v>
      </c>
      <c r="U18">
        <v>1029</v>
      </c>
      <c r="V18">
        <v>459878</v>
      </c>
      <c r="W18">
        <v>95328949763.309998</v>
      </c>
      <c r="X18">
        <v>9845231.2599999998</v>
      </c>
      <c r="Y18">
        <v>767793.97</v>
      </c>
      <c r="Z18">
        <v>783008.28</v>
      </c>
      <c r="AA18">
        <v>79478561.450000003</v>
      </c>
      <c r="AB18">
        <v>0</v>
      </c>
      <c r="AC18">
        <v>79478561.450000003</v>
      </c>
    </row>
    <row r="19" spans="1:29" x14ac:dyDescent="0.3">
      <c r="A19" s="2">
        <v>43983</v>
      </c>
      <c r="B19">
        <v>21</v>
      </c>
      <c r="C19">
        <v>3029497.82</v>
      </c>
      <c r="D19">
        <v>6603492.8600000003</v>
      </c>
      <c r="E19">
        <v>562221.07999999996</v>
      </c>
      <c r="F19" s="6">
        <f t="shared" si="0"/>
        <v>10195211.76</v>
      </c>
      <c r="G19">
        <v>47724</v>
      </c>
      <c r="H19">
        <v>41645</v>
      </c>
      <c r="I19">
        <v>43352</v>
      </c>
      <c r="J19" s="3">
        <v>456</v>
      </c>
      <c r="K19" s="3">
        <v>4730</v>
      </c>
      <c r="L19" s="3">
        <v>93</v>
      </c>
      <c r="M19" s="3">
        <v>4253</v>
      </c>
      <c r="N19">
        <v>-2.7000000000000001E-3</v>
      </c>
      <c r="O19">
        <v>-2.8999999999999998E-3</v>
      </c>
      <c r="P19">
        <v>8.0000000000000004E-4</v>
      </c>
      <c r="Q19">
        <v>3.2300000000000002E-2</v>
      </c>
      <c r="R19">
        <v>0.127</v>
      </c>
      <c r="S19">
        <v>134.72999999999999</v>
      </c>
      <c r="T19" s="5">
        <v>44.2</v>
      </c>
      <c r="U19">
        <v>1029</v>
      </c>
      <c r="V19">
        <v>882931</v>
      </c>
      <c r="W19">
        <v>23923881910.369999</v>
      </c>
      <c r="X19">
        <v>17397834.780000001</v>
      </c>
      <c r="Y19">
        <v>1416656.96</v>
      </c>
      <c r="Z19">
        <v>1538587.26</v>
      </c>
      <c r="AA19">
        <v>79240548.959999993</v>
      </c>
      <c r="AB19">
        <v>0</v>
      </c>
      <c r="AC19">
        <v>79240548.959999993</v>
      </c>
    </row>
    <row r="20" spans="1:29" x14ac:dyDescent="0.3">
      <c r="A20" s="2">
        <v>44013</v>
      </c>
      <c r="B20">
        <v>23</v>
      </c>
      <c r="C20">
        <v>3669917.74</v>
      </c>
      <c r="D20">
        <v>6856383.1099999994</v>
      </c>
      <c r="E20">
        <v>550411.27</v>
      </c>
      <c r="F20" s="6">
        <f t="shared" si="0"/>
        <v>11076712.119999999</v>
      </c>
      <c r="G20">
        <v>56966</v>
      </c>
      <c r="H20">
        <v>45253</v>
      </c>
      <c r="I20">
        <v>38798</v>
      </c>
      <c r="J20" s="3">
        <v>472</v>
      </c>
      <c r="K20" s="3">
        <v>4772</v>
      </c>
      <c r="L20" s="3">
        <v>108</v>
      </c>
      <c r="M20" s="3">
        <v>4348</v>
      </c>
      <c r="N20">
        <v>4.5000000000000014E-3</v>
      </c>
      <c r="O20">
        <v>4.1999999999999997E-3</v>
      </c>
      <c r="P20">
        <v>2.3199999999999998E-2</v>
      </c>
      <c r="Q20">
        <v>3.0200000000000001E-2</v>
      </c>
      <c r="R20">
        <v>0.13</v>
      </c>
      <c r="S20">
        <v>133.85</v>
      </c>
      <c r="T20" s="5">
        <v>46.5</v>
      </c>
      <c r="U20">
        <v>1029</v>
      </c>
      <c r="V20">
        <v>1399459</v>
      </c>
      <c r="W20">
        <v>40884205998.949997</v>
      </c>
      <c r="X20">
        <v>25222962.25</v>
      </c>
      <c r="Y20">
        <v>1980485.23</v>
      </c>
      <c r="Z20">
        <v>2298207.64</v>
      </c>
      <c r="AA20">
        <v>82102148.730000004</v>
      </c>
      <c r="AB20">
        <v>0</v>
      </c>
      <c r="AC20">
        <v>82102148.730000004</v>
      </c>
    </row>
    <row r="21" spans="1:29" x14ac:dyDescent="0.3">
      <c r="A21" s="2">
        <v>44044</v>
      </c>
      <c r="B21">
        <v>21</v>
      </c>
      <c r="C21">
        <v>4419660.87</v>
      </c>
      <c r="D21">
        <v>5920357.5099999998</v>
      </c>
      <c r="E21">
        <v>554742.07000000007</v>
      </c>
      <c r="F21" s="6">
        <f t="shared" si="0"/>
        <v>10894760.449999999</v>
      </c>
      <c r="G21">
        <v>56708</v>
      </c>
      <c r="H21">
        <v>46131</v>
      </c>
      <c r="I21">
        <v>36817</v>
      </c>
      <c r="J21" s="3">
        <v>472</v>
      </c>
      <c r="K21" s="3">
        <v>4772</v>
      </c>
      <c r="L21" s="3">
        <v>108</v>
      </c>
      <c r="M21" s="3">
        <v>4338</v>
      </c>
      <c r="N21">
        <v>4.7999999999999996E-3</v>
      </c>
      <c r="O21">
        <v>4.0000000000000001E-3</v>
      </c>
      <c r="P21">
        <v>1.11E-2</v>
      </c>
      <c r="Q21">
        <v>2.8199999999999999E-2</v>
      </c>
      <c r="R21">
        <v>0.13300000000000001</v>
      </c>
      <c r="S21">
        <v>133.72999999999999</v>
      </c>
      <c r="T21" s="5">
        <v>46.5</v>
      </c>
      <c r="U21">
        <v>1029</v>
      </c>
      <c r="V21">
        <v>1512155</v>
      </c>
      <c r="W21">
        <v>19479924617.32</v>
      </c>
      <c r="X21">
        <v>28731898.640000001</v>
      </c>
      <c r="Y21">
        <v>2220699.1</v>
      </c>
      <c r="Z21">
        <v>2506169.69</v>
      </c>
      <c r="AA21">
        <v>82629812.760000005</v>
      </c>
      <c r="AB21">
        <v>0</v>
      </c>
      <c r="AC21">
        <v>82629812.760000005</v>
      </c>
    </row>
    <row r="22" spans="1:29" x14ac:dyDescent="0.3">
      <c r="A22" s="2">
        <v>44075</v>
      </c>
      <c r="B22">
        <v>21</v>
      </c>
      <c r="C22">
        <v>5435069.71</v>
      </c>
      <c r="D22">
        <v>6278332.8299999991</v>
      </c>
      <c r="E22">
        <v>518284.17</v>
      </c>
      <c r="F22" s="6">
        <f t="shared" si="0"/>
        <v>12231686.709999999</v>
      </c>
      <c r="G22">
        <v>63159</v>
      </c>
      <c r="H22">
        <v>46767</v>
      </c>
      <c r="I22">
        <v>40410</v>
      </c>
      <c r="J22" s="3">
        <v>472</v>
      </c>
      <c r="K22" s="3">
        <v>4772</v>
      </c>
      <c r="L22" s="3">
        <v>108</v>
      </c>
      <c r="M22" s="3">
        <v>4342</v>
      </c>
      <c r="N22">
        <v>1.8E-3</v>
      </c>
      <c r="O22">
        <v>3.0000000000000001E-3</v>
      </c>
      <c r="P22">
        <v>-1.0200000000000001E-2</v>
      </c>
      <c r="Q22">
        <v>2.6100000000000002E-2</v>
      </c>
      <c r="R22">
        <v>0.13600000000000001</v>
      </c>
      <c r="S22">
        <v>134.4</v>
      </c>
      <c r="T22" s="5">
        <v>46.5</v>
      </c>
      <c r="U22">
        <v>1029</v>
      </c>
      <c r="V22">
        <v>1554135</v>
      </c>
      <c r="W22">
        <v>54797008440.810013</v>
      </c>
      <c r="X22">
        <v>29807550.16</v>
      </c>
      <c r="Y22">
        <v>2288047.7400000002</v>
      </c>
      <c r="Z22">
        <v>2591153.9500000002</v>
      </c>
      <c r="AA22">
        <v>113856966.98999999</v>
      </c>
      <c r="AB22">
        <v>0</v>
      </c>
      <c r="AC22">
        <v>113856966.98999999</v>
      </c>
    </row>
    <row r="23" spans="1:29" x14ac:dyDescent="0.3">
      <c r="A23" s="2">
        <v>44105</v>
      </c>
      <c r="B23">
        <v>21</v>
      </c>
      <c r="C23">
        <v>4723026.1300000008</v>
      </c>
      <c r="D23">
        <v>6499605.7000000002</v>
      </c>
      <c r="E23">
        <v>592066.08000000007</v>
      </c>
      <c r="F23" s="6">
        <f t="shared" si="0"/>
        <v>11814697.910000002</v>
      </c>
      <c r="G23">
        <v>71141</v>
      </c>
      <c r="H23">
        <v>44842</v>
      </c>
      <c r="I23">
        <v>46500</v>
      </c>
      <c r="J23" s="3">
        <v>472</v>
      </c>
      <c r="K23" s="3">
        <v>4777</v>
      </c>
      <c r="L23" s="3">
        <v>108</v>
      </c>
      <c r="M23" s="3">
        <v>4356</v>
      </c>
      <c r="N23">
        <v>8.0000000000000004E-4</v>
      </c>
      <c r="O23">
        <v>2.0999999999999999E-3</v>
      </c>
      <c r="P23">
        <v>7.4999999999999997E-3</v>
      </c>
      <c r="Q23">
        <v>2.41E-2</v>
      </c>
      <c r="R23">
        <v>0.13900000000000001</v>
      </c>
      <c r="S23">
        <v>136.81</v>
      </c>
      <c r="T23" s="5">
        <v>48.8</v>
      </c>
      <c r="U23">
        <v>1029</v>
      </c>
      <c r="V23">
        <v>1597131</v>
      </c>
      <c r="W23">
        <v>13335738391.07</v>
      </c>
      <c r="X23">
        <v>31242259.260000002</v>
      </c>
      <c r="Y23">
        <v>2426104.7799999998</v>
      </c>
      <c r="Z23">
        <v>2708045.23</v>
      </c>
      <c r="AA23">
        <v>117413616.7</v>
      </c>
      <c r="AB23">
        <v>0</v>
      </c>
      <c r="AC23">
        <v>117413616.7</v>
      </c>
    </row>
    <row r="24" spans="1:29" x14ac:dyDescent="0.3">
      <c r="A24" s="2">
        <v>44136</v>
      </c>
      <c r="B24">
        <v>20</v>
      </c>
      <c r="C24">
        <v>5723576.4700000007</v>
      </c>
      <c r="D24">
        <v>6699111.9399999985</v>
      </c>
      <c r="E24">
        <v>608547.65999999992</v>
      </c>
      <c r="F24" s="6">
        <f t="shared" si="0"/>
        <v>13031236.07</v>
      </c>
      <c r="G24">
        <v>65606</v>
      </c>
      <c r="H24">
        <v>46298</v>
      </c>
      <c r="I24">
        <v>43602</v>
      </c>
      <c r="J24" s="3">
        <v>472</v>
      </c>
      <c r="K24" s="3">
        <v>4777</v>
      </c>
      <c r="L24" s="3">
        <v>108</v>
      </c>
      <c r="M24" s="3">
        <v>4363</v>
      </c>
      <c r="N24">
        <v>-2.2000000000000001E-3</v>
      </c>
      <c r="O24">
        <v>-2.7000000000000001E-3</v>
      </c>
      <c r="P24">
        <v>7.000000000000001E-4</v>
      </c>
      <c r="Q24">
        <v>2.1999999999999999E-2</v>
      </c>
      <c r="R24">
        <v>0.14199999999999999</v>
      </c>
      <c r="S24">
        <v>138.29</v>
      </c>
      <c r="T24" s="5">
        <v>48.8</v>
      </c>
      <c r="U24">
        <v>1029</v>
      </c>
      <c r="V24">
        <v>1533125</v>
      </c>
      <c r="W24">
        <v>21051315770.189999</v>
      </c>
      <c r="X24">
        <v>34320468.420000002</v>
      </c>
      <c r="Y24">
        <v>2671585.87</v>
      </c>
      <c r="Z24">
        <v>2787405.73</v>
      </c>
      <c r="AA24">
        <v>120359537.97</v>
      </c>
      <c r="AB24">
        <v>0</v>
      </c>
      <c r="AC24">
        <v>120359537.97</v>
      </c>
    </row>
    <row r="25" spans="1:29" x14ac:dyDescent="0.3">
      <c r="A25" s="2">
        <v>44166</v>
      </c>
      <c r="B25">
        <v>22</v>
      </c>
      <c r="C25">
        <v>5742459.1999999993</v>
      </c>
      <c r="D25">
        <v>6039300.6699999999</v>
      </c>
      <c r="E25">
        <v>587875.99</v>
      </c>
      <c r="F25" s="6">
        <f t="shared" si="0"/>
        <v>12369635.859999999</v>
      </c>
      <c r="G25">
        <v>53612</v>
      </c>
      <c r="H25">
        <v>41266</v>
      </c>
      <c r="I25">
        <v>32825</v>
      </c>
      <c r="J25" s="3">
        <v>472</v>
      </c>
      <c r="K25" s="3">
        <v>4777</v>
      </c>
      <c r="L25" s="3">
        <v>108</v>
      </c>
      <c r="M25" s="3">
        <v>4365</v>
      </c>
      <c r="N25">
        <v>1.6000000000000001E-3</v>
      </c>
      <c r="O25">
        <v>1.2999999999999999E-3</v>
      </c>
      <c r="P25">
        <v>1.2800000000000001E-2</v>
      </c>
      <c r="Q25">
        <v>0.02</v>
      </c>
      <c r="R25">
        <v>0.14499999999999999</v>
      </c>
      <c r="S25">
        <v>138.25</v>
      </c>
      <c r="T25" s="5">
        <v>48.8</v>
      </c>
      <c r="U25">
        <v>1029</v>
      </c>
      <c r="V25">
        <v>1575344</v>
      </c>
      <c r="W25">
        <v>32809545927.889999</v>
      </c>
      <c r="X25">
        <v>38596863.420000002</v>
      </c>
      <c r="Y25">
        <v>2936205.34</v>
      </c>
      <c r="Z25">
        <v>2939407.78</v>
      </c>
      <c r="AA25">
        <v>115333101.09999999</v>
      </c>
      <c r="AB25">
        <v>0</v>
      </c>
      <c r="AC25">
        <v>115333101.09999999</v>
      </c>
    </row>
    <row r="26" spans="1:29" x14ac:dyDescent="0.3">
      <c r="A26" s="2">
        <v>44197</v>
      </c>
      <c r="B26">
        <v>20</v>
      </c>
      <c r="C26">
        <v>4708717.82</v>
      </c>
      <c r="D26">
        <v>5246472.9899999993</v>
      </c>
      <c r="E26">
        <v>579614.38</v>
      </c>
      <c r="F26" s="6">
        <f t="shared" si="0"/>
        <v>10534805.189999999</v>
      </c>
      <c r="G26">
        <v>28931</v>
      </c>
      <c r="H26">
        <v>41792</v>
      </c>
      <c r="I26">
        <v>27077</v>
      </c>
      <c r="J26" s="3">
        <v>472</v>
      </c>
      <c r="K26" s="3">
        <v>4777</v>
      </c>
      <c r="L26" s="3">
        <v>108</v>
      </c>
      <c r="M26" s="3">
        <v>4371</v>
      </c>
      <c r="N26">
        <v>7.3000000000000001E-3</v>
      </c>
      <c r="O26">
        <v>6.9999999999999993E-3</v>
      </c>
      <c r="P26">
        <v>2.7799999999999998E-2</v>
      </c>
      <c r="Q26">
        <v>0.02</v>
      </c>
      <c r="R26">
        <v>0.14499999999999999</v>
      </c>
      <c r="S26">
        <v>138.43</v>
      </c>
      <c r="T26" s="5">
        <v>49.5</v>
      </c>
      <c r="U26">
        <v>1005.5</v>
      </c>
      <c r="V26">
        <v>1525727</v>
      </c>
      <c r="W26">
        <v>9577092411.9799995</v>
      </c>
      <c r="X26">
        <v>28925138.82</v>
      </c>
      <c r="Y26">
        <v>2191738.27</v>
      </c>
      <c r="Z26">
        <v>2579485.52</v>
      </c>
      <c r="AA26">
        <v>122781469.87</v>
      </c>
      <c r="AB26">
        <v>24389064.500000801</v>
      </c>
      <c r="AC26">
        <v>147170534.37000081</v>
      </c>
    </row>
    <row r="27" spans="1:29" x14ac:dyDescent="0.3">
      <c r="A27" s="2">
        <v>44228</v>
      </c>
      <c r="B27">
        <v>19</v>
      </c>
      <c r="C27">
        <v>4748325.67</v>
      </c>
      <c r="D27">
        <v>6657592.8000000007</v>
      </c>
      <c r="E27">
        <v>577289.01</v>
      </c>
      <c r="F27" s="6">
        <f t="shared" si="0"/>
        <v>11983207.48</v>
      </c>
      <c r="G27">
        <v>50843</v>
      </c>
      <c r="H27">
        <v>51911</v>
      </c>
      <c r="I27">
        <v>40849</v>
      </c>
      <c r="J27" s="3">
        <v>472</v>
      </c>
      <c r="K27" s="3">
        <v>4777</v>
      </c>
      <c r="L27" s="3">
        <v>108</v>
      </c>
      <c r="M27" s="3">
        <v>4394</v>
      </c>
      <c r="N27">
        <v>5.8999999999999999E-3</v>
      </c>
      <c r="O27">
        <v>5.6000000000000008E-3</v>
      </c>
      <c r="P27">
        <v>9.1000000000000004E-3</v>
      </c>
      <c r="Q27">
        <v>2.6599999999999999E-2</v>
      </c>
      <c r="R27">
        <v>0.14199999999999999</v>
      </c>
      <c r="S27">
        <v>137.12</v>
      </c>
      <c r="T27" s="5">
        <v>49.5</v>
      </c>
      <c r="U27">
        <v>1005.5</v>
      </c>
      <c r="V27">
        <v>1414647</v>
      </c>
      <c r="W27">
        <v>17405884757.619999</v>
      </c>
      <c r="X27">
        <v>29300482.390000001</v>
      </c>
      <c r="Y27">
        <v>2236660.23</v>
      </c>
      <c r="Z27">
        <v>2502450.64</v>
      </c>
      <c r="AA27">
        <v>132035185.09</v>
      </c>
      <c r="AB27">
        <v>27628508.470000248</v>
      </c>
      <c r="AC27">
        <v>159663693.56000021</v>
      </c>
    </row>
    <row r="28" spans="1:29" x14ac:dyDescent="0.3">
      <c r="A28" s="2">
        <v>44256</v>
      </c>
      <c r="B28">
        <v>21</v>
      </c>
      <c r="C28">
        <v>4092686.48</v>
      </c>
      <c r="D28">
        <v>7638591.959999999</v>
      </c>
      <c r="E28">
        <v>660597.19999999995</v>
      </c>
      <c r="F28" s="6">
        <f t="shared" si="0"/>
        <v>12391875.639999999</v>
      </c>
      <c r="G28">
        <v>57152</v>
      </c>
      <c r="H28">
        <v>51404</v>
      </c>
      <c r="I28">
        <v>47265</v>
      </c>
      <c r="J28" s="3">
        <v>472</v>
      </c>
      <c r="K28" s="3">
        <v>4777</v>
      </c>
      <c r="L28" s="3">
        <v>108</v>
      </c>
      <c r="M28" s="3">
        <v>4400</v>
      </c>
      <c r="N28">
        <v>6.7999999999999996E-3</v>
      </c>
      <c r="O28">
        <v>7.4999999999999997E-3</v>
      </c>
      <c r="P28">
        <v>2.0500000000000001E-2</v>
      </c>
      <c r="Q28">
        <v>3.32E-2</v>
      </c>
      <c r="R28">
        <v>0.13900000000000001</v>
      </c>
      <c r="S28">
        <v>137.29</v>
      </c>
      <c r="T28" s="5">
        <v>49.5</v>
      </c>
      <c r="U28">
        <v>1005.5</v>
      </c>
      <c r="V28">
        <v>958952</v>
      </c>
      <c r="W28">
        <v>25543571994.330002</v>
      </c>
      <c r="X28">
        <v>23160333.399999999</v>
      </c>
      <c r="Y28">
        <v>1705534.85</v>
      </c>
      <c r="Z28">
        <v>1797801.66</v>
      </c>
      <c r="AA28">
        <v>128084493.08</v>
      </c>
      <c r="AB28">
        <v>25715148.750000551</v>
      </c>
      <c r="AC28">
        <v>153799641.83000049</v>
      </c>
    </row>
    <row r="29" spans="1:29" x14ac:dyDescent="0.3">
      <c r="A29" s="2">
        <v>44287</v>
      </c>
      <c r="B29">
        <v>20</v>
      </c>
      <c r="C29">
        <v>3464844.51</v>
      </c>
      <c r="D29">
        <v>6460892.7300000004</v>
      </c>
      <c r="E29">
        <v>735387.43</v>
      </c>
      <c r="F29" s="6">
        <f t="shared" si="0"/>
        <v>10661124.67</v>
      </c>
      <c r="G29">
        <v>52769</v>
      </c>
      <c r="H29">
        <v>47236</v>
      </c>
      <c r="I29">
        <v>42817</v>
      </c>
      <c r="J29" s="3">
        <v>472</v>
      </c>
      <c r="K29" s="3">
        <v>4777</v>
      </c>
      <c r="L29" s="3">
        <v>108</v>
      </c>
      <c r="M29" s="3">
        <v>4407</v>
      </c>
      <c r="N29">
        <v>9.3999999999999986E-3</v>
      </c>
      <c r="O29">
        <v>9.1999999999999998E-3</v>
      </c>
      <c r="P29">
        <v>1.2999999999999999E-2</v>
      </c>
      <c r="Q29">
        <v>3.9800000000000002E-2</v>
      </c>
      <c r="R29">
        <v>0.13600000000000001</v>
      </c>
      <c r="S29">
        <v>137.06</v>
      </c>
      <c r="T29" s="5">
        <v>51.2</v>
      </c>
      <c r="U29">
        <v>1005.5</v>
      </c>
      <c r="V29">
        <v>1188177</v>
      </c>
      <c r="W29">
        <v>21822853201.200001</v>
      </c>
      <c r="X29">
        <v>26857856.600000001</v>
      </c>
      <c r="Y29">
        <v>1995007.28</v>
      </c>
      <c r="Z29">
        <v>2154658.5699999998</v>
      </c>
      <c r="AA29">
        <v>126003108.09999999</v>
      </c>
      <c r="AB29">
        <v>28610486.620000839</v>
      </c>
      <c r="AC29">
        <v>154613594.7200008</v>
      </c>
    </row>
    <row r="30" spans="1:29" x14ac:dyDescent="0.3">
      <c r="A30" s="2">
        <v>44317</v>
      </c>
      <c r="B30">
        <v>21</v>
      </c>
      <c r="C30">
        <v>5110401.1500000004</v>
      </c>
      <c r="D30">
        <v>7521449.5300000003</v>
      </c>
      <c r="E30">
        <v>795280.82</v>
      </c>
      <c r="F30" s="6">
        <f t="shared" si="0"/>
        <v>13427131.5</v>
      </c>
      <c r="G30">
        <v>59023</v>
      </c>
      <c r="H30">
        <v>52222</v>
      </c>
      <c r="I30">
        <v>43125</v>
      </c>
      <c r="J30" s="3">
        <v>472</v>
      </c>
      <c r="K30" s="3">
        <v>4807</v>
      </c>
      <c r="L30" s="3">
        <v>108</v>
      </c>
      <c r="M30" s="3">
        <v>4412</v>
      </c>
      <c r="N30">
        <v>1.4E-2</v>
      </c>
      <c r="O30">
        <v>1.37E-2</v>
      </c>
      <c r="P30">
        <v>1.2800000000000001E-2</v>
      </c>
      <c r="Q30">
        <v>4.6399999999999997E-2</v>
      </c>
      <c r="R30">
        <v>0.13300000000000001</v>
      </c>
      <c r="S30">
        <v>137.75</v>
      </c>
      <c r="T30" s="5">
        <v>51.2</v>
      </c>
      <c r="U30">
        <v>1005.5</v>
      </c>
      <c r="V30">
        <v>1440634</v>
      </c>
      <c r="W30">
        <v>17304522648.830002</v>
      </c>
      <c r="X30">
        <v>31617908.140000001</v>
      </c>
      <c r="Y30">
        <v>2362293.64</v>
      </c>
      <c r="Z30">
        <v>2584787.1800000002</v>
      </c>
      <c r="AA30">
        <v>129142385.20999999</v>
      </c>
      <c r="AB30">
        <v>25233573.70000051</v>
      </c>
      <c r="AC30">
        <v>154375958.9100005</v>
      </c>
    </row>
    <row r="31" spans="1:29" x14ac:dyDescent="0.3">
      <c r="A31" s="2">
        <v>44348</v>
      </c>
      <c r="B31">
        <v>21</v>
      </c>
      <c r="C31">
        <v>5694340.0499999998</v>
      </c>
      <c r="D31">
        <v>7156098.5499999998</v>
      </c>
      <c r="E31">
        <v>892893.54</v>
      </c>
      <c r="F31" s="6">
        <f t="shared" si="0"/>
        <v>13743332.140000001</v>
      </c>
      <c r="G31">
        <v>57451</v>
      </c>
      <c r="H31">
        <v>51749</v>
      </c>
      <c r="I31">
        <v>43859</v>
      </c>
      <c r="J31" s="3">
        <v>472</v>
      </c>
      <c r="K31" s="3">
        <v>4807</v>
      </c>
      <c r="L31" s="3">
        <v>108</v>
      </c>
      <c r="M31" s="3">
        <v>4422</v>
      </c>
      <c r="N31">
        <v>7.8000000000000014E-3</v>
      </c>
      <c r="O31">
        <v>8.5000000000000006E-3</v>
      </c>
      <c r="P31">
        <v>2.5999999999999999E-2</v>
      </c>
      <c r="Q31">
        <v>5.2999999999999999E-2</v>
      </c>
      <c r="R31">
        <v>0.13</v>
      </c>
      <c r="S31">
        <v>136.71</v>
      </c>
      <c r="T31" s="5">
        <v>51.2</v>
      </c>
      <c r="U31">
        <v>1005.5</v>
      </c>
      <c r="V31">
        <v>1545323</v>
      </c>
      <c r="W31">
        <v>8813163010.8899994</v>
      </c>
      <c r="X31">
        <v>33162090.129999999</v>
      </c>
      <c r="Y31">
        <v>2548523.0699999998</v>
      </c>
      <c r="Z31">
        <v>2772013.15</v>
      </c>
      <c r="AA31">
        <v>130273513.70999999</v>
      </c>
      <c r="AB31">
        <v>58583345.970000237</v>
      </c>
      <c r="AC31">
        <v>188856859.68000019</v>
      </c>
    </row>
    <row r="32" spans="1:29" x14ac:dyDescent="0.3">
      <c r="A32" s="2">
        <v>44378</v>
      </c>
      <c r="B32">
        <v>22</v>
      </c>
      <c r="C32">
        <v>5546885.2200000007</v>
      </c>
      <c r="D32">
        <v>7340773.9100000001</v>
      </c>
      <c r="E32">
        <v>1021166.39</v>
      </c>
      <c r="F32" s="6">
        <f t="shared" si="0"/>
        <v>13908825.520000001</v>
      </c>
      <c r="G32">
        <v>52628</v>
      </c>
      <c r="H32">
        <v>51148</v>
      </c>
      <c r="I32">
        <v>39928</v>
      </c>
      <c r="J32" s="3">
        <v>472</v>
      </c>
      <c r="K32" s="3">
        <v>4849</v>
      </c>
      <c r="L32" s="3">
        <v>108</v>
      </c>
      <c r="M32" s="3">
        <v>4466</v>
      </c>
      <c r="N32">
        <v>1.0699999999999999E-2</v>
      </c>
      <c r="O32">
        <v>8.8000000000000005E-3</v>
      </c>
      <c r="P32">
        <v>2.3300000000000001E-2</v>
      </c>
      <c r="Q32">
        <v>5.9499999999999997E-2</v>
      </c>
      <c r="R32">
        <v>0.126</v>
      </c>
      <c r="S32">
        <v>137.68</v>
      </c>
      <c r="T32" s="5">
        <v>52.8</v>
      </c>
      <c r="U32">
        <v>1005.5</v>
      </c>
      <c r="V32">
        <v>1684456</v>
      </c>
      <c r="W32">
        <v>18112726309.959999</v>
      </c>
      <c r="X32">
        <v>36762386.020000003</v>
      </c>
      <c r="Y32">
        <v>2763729.15</v>
      </c>
      <c r="Z32">
        <v>2994919.49</v>
      </c>
      <c r="AA32">
        <v>133393301.52</v>
      </c>
      <c r="AB32">
        <v>31071145.31999936</v>
      </c>
      <c r="AC32">
        <v>164464446.83999929</v>
      </c>
    </row>
    <row r="33" spans="1:29" x14ac:dyDescent="0.3">
      <c r="A33" s="2">
        <v>44409</v>
      </c>
      <c r="B33">
        <v>22</v>
      </c>
      <c r="C33">
        <v>6593303.5800000001</v>
      </c>
      <c r="D33">
        <v>7797370.9500000002</v>
      </c>
      <c r="E33">
        <v>1111215.3500000001</v>
      </c>
      <c r="F33" s="6">
        <f t="shared" si="0"/>
        <v>15501889.880000001</v>
      </c>
      <c r="G33">
        <v>55250</v>
      </c>
      <c r="H33">
        <v>56272</v>
      </c>
      <c r="I33">
        <v>47700</v>
      </c>
      <c r="J33" s="3">
        <v>472</v>
      </c>
      <c r="K33" s="3">
        <v>4809</v>
      </c>
      <c r="L33" s="3">
        <v>108</v>
      </c>
      <c r="M33" s="3">
        <v>4454</v>
      </c>
      <c r="N33">
        <v>8.3000000000000001E-3</v>
      </c>
      <c r="O33">
        <v>7.8000000000000014E-3</v>
      </c>
      <c r="P33">
        <v>2.3099999999999999E-2</v>
      </c>
      <c r="Q33">
        <v>6.6100000000000006E-2</v>
      </c>
      <c r="R33">
        <v>0.123</v>
      </c>
      <c r="S33">
        <v>140.18</v>
      </c>
      <c r="T33" s="5">
        <v>52.8</v>
      </c>
      <c r="U33">
        <v>1005.5</v>
      </c>
      <c r="V33">
        <v>1692002</v>
      </c>
      <c r="W33">
        <v>24914187442.380001</v>
      </c>
      <c r="X33">
        <v>37873239.840000004</v>
      </c>
      <c r="Y33">
        <v>2808660.98</v>
      </c>
      <c r="Z33">
        <v>3056135.23</v>
      </c>
      <c r="AA33">
        <v>137407339.22</v>
      </c>
      <c r="AB33">
        <v>20853249.48000044</v>
      </c>
      <c r="AC33">
        <v>158260588.70000041</v>
      </c>
    </row>
    <row r="34" spans="1:29" x14ac:dyDescent="0.3">
      <c r="A34" s="2">
        <v>44440</v>
      </c>
      <c r="B34">
        <v>21</v>
      </c>
      <c r="C34">
        <v>5240270.8599999994</v>
      </c>
      <c r="D34">
        <v>7829969.8399999999</v>
      </c>
      <c r="E34">
        <v>1186567.47</v>
      </c>
      <c r="F34" s="6">
        <f t="shared" si="0"/>
        <v>14256808.17</v>
      </c>
      <c r="G34">
        <v>55678</v>
      </c>
      <c r="H34">
        <v>53725</v>
      </c>
      <c r="I34">
        <v>45193</v>
      </c>
      <c r="J34" s="3">
        <v>472</v>
      </c>
      <c r="K34" s="3">
        <v>4847</v>
      </c>
      <c r="L34" s="3">
        <v>108</v>
      </c>
      <c r="M34" s="3">
        <v>4461</v>
      </c>
      <c r="N34">
        <v>1E-3</v>
      </c>
      <c r="O34">
        <v>2.2000000000000001E-3</v>
      </c>
      <c r="P34">
        <v>2.81E-2</v>
      </c>
      <c r="Q34">
        <v>7.2700000000000001E-2</v>
      </c>
      <c r="R34">
        <v>0.12</v>
      </c>
      <c r="S34">
        <v>140.22</v>
      </c>
      <c r="T34" s="5">
        <v>52.8</v>
      </c>
      <c r="U34">
        <v>1005.5</v>
      </c>
      <c r="V34">
        <v>0</v>
      </c>
      <c r="W34">
        <v>0</v>
      </c>
      <c r="X34">
        <v>0</v>
      </c>
      <c r="Y34">
        <v>0</v>
      </c>
      <c r="Z34">
        <v>0</v>
      </c>
      <c r="AA34">
        <v>141332142.97999999</v>
      </c>
      <c r="AB34">
        <v>23427384.280000441</v>
      </c>
      <c r="AC34">
        <v>164759527.26000041</v>
      </c>
    </row>
    <row r="35" spans="1:29" x14ac:dyDescent="0.3">
      <c r="A35" s="2">
        <v>44470</v>
      </c>
      <c r="B35">
        <v>20</v>
      </c>
      <c r="C35">
        <v>5193782.18</v>
      </c>
      <c r="D35">
        <v>7719206.3300000001</v>
      </c>
      <c r="E35">
        <v>1267697.33</v>
      </c>
      <c r="F35" s="6">
        <f t="shared" si="0"/>
        <v>14180685.84</v>
      </c>
      <c r="G35">
        <v>53570</v>
      </c>
      <c r="H35">
        <v>54051</v>
      </c>
      <c r="I35">
        <v>45965</v>
      </c>
      <c r="J35" s="3">
        <v>504</v>
      </c>
      <c r="K35" s="3">
        <v>4862</v>
      </c>
      <c r="L35" s="3">
        <v>108</v>
      </c>
      <c r="M35" s="3">
        <v>4520</v>
      </c>
      <c r="N35">
        <v>8.6E-3</v>
      </c>
      <c r="O35">
        <v>7.9000000000000008E-3</v>
      </c>
      <c r="P35">
        <v>1.52E-2</v>
      </c>
      <c r="Q35">
        <v>7.9299999999999995E-2</v>
      </c>
      <c r="R35">
        <v>0.11700000000000001</v>
      </c>
      <c r="S35">
        <v>141.02000000000001</v>
      </c>
      <c r="T35" s="5">
        <v>53.9</v>
      </c>
      <c r="U35">
        <v>1005.5</v>
      </c>
      <c r="V35">
        <v>0</v>
      </c>
      <c r="W35">
        <v>0</v>
      </c>
      <c r="X35">
        <v>0</v>
      </c>
      <c r="Y35">
        <v>0</v>
      </c>
      <c r="Z35">
        <v>0</v>
      </c>
      <c r="AA35">
        <v>147608365.08000001</v>
      </c>
      <c r="AB35">
        <v>30442789.540000331</v>
      </c>
      <c r="AC35">
        <v>178051154.6200003</v>
      </c>
    </row>
    <row r="36" spans="1:29" x14ac:dyDescent="0.3">
      <c r="A36" s="2">
        <v>44501</v>
      </c>
      <c r="B36">
        <v>20</v>
      </c>
      <c r="C36">
        <v>6094665.3399999999</v>
      </c>
      <c r="D36">
        <v>7805291.5599999996</v>
      </c>
      <c r="E36">
        <v>1536972.54</v>
      </c>
      <c r="F36" s="6">
        <f t="shared" si="0"/>
        <v>15436929.439999998</v>
      </c>
      <c r="G36">
        <v>62853</v>
      </c>
      <c r="H36">
        <v>55669</v>
      </c>
      <c r="I36">
        <v>51428</v>
      </c>
      <c r="J36" s="3">
        <v>504</v>
      </c>
      <c r="K36" s="3">
        <v>4850</v>
      </c>
      <c r="L36" s="3">
        <v>108</v>
      </c>
      <c r="M36" s="3">
        <v>4514</v>
      </c>
      <c r="N36">
        <v>7.1999999999999998E-3</v>
      </c>
      <c r="O36">
        <v>8.199999999999999E-3</v>
      </c>
      <c r="P36">
        <v>2.18E-2</v>
      </c>
      <c r="Q36">
        <v>8.5900000000000004E-2</v>
      </c>
      <c r="R36">
        <v>0.114</v>
      </c>
      <c r="S36">
        <v>142.26</v>
      </c>
      <c r="T36" s="5">
        <v>53.9</v>
      </c>
      <c r="U36">
        <v>1005.5</v>
      </c>
      <c r="V36">
        <v>0</v>
      </c>
      <c r="W36">
        <v>0</v>
      </c>
      <c r="X36">
        <v>0</v>
      </c>
      <c r="Y36">
        <v>0</v>
      </c>
      <c r="Z36">
        <v>0</v>
      </c>
      <c r="AA36">
        <v>151508043.63</v>
      </c>
      <c r="AB36">
        <v>46780335.289999358</v>
      </c>
      <c r="AC36">
        <v>198288378.9199993</v>
      </c>
    </row>
    <row r="37" spans="1:29" x14ac:dyDescent="0.3">
      <c r="A37" s="2">
        <v>44531</v>
      </c>
      <c r="B37">
        <v>23</v>
      </c>
      <c r="C37">
        <v>5661330.5899999999</v>
      </c>
      <c r="D37">
        <v>7241483.080000001</v>
      </c>
      <c r="E37">
        <v>1903835.91</v>
      </c>
      <c r="F37" s="6">
        <f t="shared" si="0"/>
        <v>14806649.580000002</v>
      </c>
      <c r="G37">
        <v>43389</v>
      </c>
      <c r="H37">
        <v>51140</v>
      </c>
      <c r="I37">
        <v>33219</v>
      </c>
      <c r="J37" s="3">
        <v>503</v>
      </c>
      <c r="K37" s="3">
        <v>4863</v>
      </c>
      <c r="L37" s="3">
        <v>108</v>
      </c>
      <c r="M37" s="3">
        <v>4528</v>
      </c>
      <c r="N37">
        <v>1.6199999999999999E-2</v>
      </c>
      <c r="O37">
        <v>1.54E-2</v>
      </c>
      <c r="P37">
        <v>1.1900000000000001E-2</v>
      </c>
      <c r="Q37">
        <v>9.2499999999999999E-2</v>
      </c>
      <c r="R37">
        <v>0.111</v>
      </c>
      <c r="S37">
        <v>141.86000000000001</v>
      </c>
      <c r="T37" s="5">
        <v>53.9</v>
      </c>
      <c r="U37">
        <v>1005.5</v>
      </c>
      <c r="V37">
        <v>0</v>
      </c>
      <c r="W37">
        <v>0</v>
      </c>
      <c r="X37">
        <v>0</v>
      </c>
      <c r="Y37">
        <v>0</v>
      </c>
      <c r="Z37">
        <v>0</v>
      </c>
      <c r="AA37">
        <v>154028183.53999999</v>
      </c>
      <c r="AB37">
        <v>49753131.299999297</v>
      </c>
      <c r="AC37">
        <v>203781314.83999929</v>
      </c>
    </row>
    <row r="38" spans="1:29" x14ac:dyDescent="0.3">
      <c r="A38" s="2">
        <v>44562</v>
      </c>
      <c r="B38">
        <v>21</v>
      </c>
      <c r="C38">
        <v>4809370.3900000006</v>
      </c>
      <c r="D38">
        <v>8245282.6100000003</v>
      </c>
      <c r="E38">
        <v>1105925.3</v>
      </c>
      <c r="F38" s="6">
        <f t="shared" si="0"/>
        <v>14160578.300000001</v>
      </c>
      <c r="G38">
        <v>32986</v>
      </c>
      <c r="H38">
        <v>48484</v>
      </c>
      <c r="I38">
        <v>31877</v>
      </c>
      <c r="J38" s="3">
        <v>503</v>
      </c>
      <c r="K38" s="3">
        <v>4863</v>
      </c>
      <c r="L38" s="3">
        <v>108</v>
      </c>
      <c r="M38" s="3">
        <v>4545</v>
      </c>
      <c r="N38">
        <v>5.1999999999999998E-3</v>
      </c>
      <c r="O38">
        <v>4.0000000000000001E-3</v>
      </c>
      <c r="P38">
        <v>2.3E-2</v>
      </c>
      <c r="Q38">
        <v>0.1075</v>
      </c>
      <c r="R38">
        <v>0.111</v>
      </c>
      <c r="S38">
        <v>142.38999999999999</v>
      </c>
      <c r="T38" s="5">
        <v>54.7</v>
      </c>
      <c r="U38">
        <v>942.66666666666663</v>
      </c>
      <c r="V38">
        <v>1320789</v>
      </c>
      <c r="W38">
        <v>13139496628.33</v>
      </c>
      <c r="X38">
        <v>30843746.34</v>
      </c>
      <c r="Y38">
        <v>2302488.86</v>
      </c>
      <c r="Z38">
        <v>2542863.2000000002</v>
      </c>
      <c r="AA38">
        <v>166819055.78</v>
      </c>
      <c r="AB38">
        <v>0</v>
      </c>
      <c r="AC38">
        <v>166819055.78</v>
      </c>
    </row>
    <row r="39" spans="1:29" x14ac:dyDescent="0.3">
      <c r="A39" s="2">
        <v>44593</v>
      </c>
      <c r="B39">
        <v>20</v>
      </c>
      <c r="C39">
        <v>4918450.8599999994</v>
      </c>
      <c r="D39">
        <v>9539103.75</v>
      </c>
      <c r="E39">
        <v>1543007.53</v>
      </c>
      <c r="F39" s="6">
        <f t="shared" si="0"/>
        <v>16000562.139999999</v>
      </c>
      <c r="G39">
        <v>60918</v>
      </c>
      <c r="H39">
        <v>57465</v>
      </c>
      <c r="I39">
        <v>48391</v>
      </c>
      <c r="J39" s="3">
        <v>503</v>
      </c>
      <c r="K39" s="3">
        <v>4934</v>
      </c>
      <c r="L39" s="3">
        <v>108</v>
      </c>
      <c r="M39" s="3">
        <v>4565</v>
      </c>
      <c r="N39">
        <v>5.6999999999999993E-3</v>
      </c>
      <c r="O39">
        <v>6.5000000000000006E-3</v>
      </c>
      <c r="P39">
        <v>1.43E-2</v>
      </c>
      <c r="Q39">
        <v>0.11020000000000001</v>
      </c>
      <c r="R39">
        <v>0.108</v>
      </c>
      <c r="S39">
        <v>142.61000000000001</v>
      </c>
      <c r="T39" s="5">
        <v>54.7</v>
      </c>
      <c r="U39">
        <v>942.66666666666663</v>
      </c>
      <c r="V39">
        <v>1373158</v>
      </c>
      <c r="W39">
        <v>11167833270.51</v>
      </c>
      <c r="X39">
        <v>34711466.439999998</v>
      </c>
      <c r="Y39">
        <v>2542136.11</v>
      </c>
      <c r="Z39">
        <v>2741803.51</v>
      </c>
      <c r="AA39">
        <v>174905235.75999999</v>
      </c>
      <c r="AB39">
        <v>0</v>
      </c>
      <c r="AC39">
        <v>174905235.75999999</v>
      </c>
    </row>
    <row r="40" spans="1:29" x14ac:dyDescent="0.3">
      <c r="A40" s="2">
        <v>44621</v>
      </c>
      <c r="B40">
        <v>21</v>
      </c>
      <c r="C40">
        <v>6250223.9000000004</v>
      </c>
      <c r="D40">
        <v>10764406.050000001</v>
      </c>
      <c r="E40">
        <v>4711906.93</v>
      </c>
      <c r="F40" s="6">
        <f t="shared" si="0"/>
        <v>21726536.880000003</v>
      </c>
      <c r="G40">
        <v>65467</v>
      </c>
      <c r="H40">
        <v>63176</v>
      </c>
      <c r="I40">
        <v>56167</v>
      </c>
      <c r="J40" s="3">
        <v>503</v>
      </c>
      <c r="K40" s="3">
        <v>5007</v>
      </c>
      <c r="L40" s="3">
        <v>108</v>
      </c>
      <c r="M40" s="3">
        <v>4581</v>
      </c>
      <c r="N40">
        <v>5.7999999999999996E-3</v>
      </c>
      <c r="O40">
        <v>4.7999999999999996E-3</v>
      </c>
      <c r="P40">
        <v>-6.1999999999999998E-3</v>
      </c>
      <c r="Q40">
        <v>0.113</v>
      </c>
      <c r="R40">
        <v>0.105</v>
      </c>
      <c r="S40">
        <v>142.96</v>
      </c>
      <c r="T40" s="5">
        <v>54.7</v>
      </c>
      <c r="U40">
        <v>942.66666666666663</v>
      </c>
      <c r="V40">
        <v>1499454</v>
      </c>
      <c r="W40">
        <v>30451594760.84</v>
      </c>
      <c r="X40">
        <v>38764475.229999997</v>
      </c>
      <c r="Y40">
        <v>2842076.02</v>
      </c>
      <c r="Z40">
        <v>2950947.36</v>
      </c>
      <c r="AA40">
        <v>175847467.44</v>
      </c>
      <c r="AB40">
        <v>0</v>
      </c>
      <c r="AC40">
        <v>175847467.44</v>
      </c>
    </row>
    <row r="41" spans="1:29" x14ac:dyDescent="0.3">
      <c r="A41" s="2">
        <v>44652</v>
      </c>
      <c r="B41">
        <v>19</v>
      </c>
      <c r="C41">
        <v>5177735.0600000015</v>
      </c>
      <c r="D41">
        <v>9402211.4500000011</v>
      </c>
      <c r="E41">
        <v>2999172.15</v>
      </c>
      <c r="F41" s="6">
        <f t="shared" si="0"/>
        <v>17579118.66</v>
      </c>
      <c r="G41">
        <v>55321</v>
      </c>
      <c r="H41">
        <v>53159</v>
      </c>
      <c r="I41">
        <v>47733</v>
      </c>
      <c r="J41" s="3">
        <v>503</v>
      </c>
      <c r="K41" s="3">
        <v>5010</v>
      </c>
      <c r="L41" s="3">
        <v>110</v>
      </c>
      <c r="M41" s="3">
        <v>4610</v>
      </c>
      <c r="N41">
        <v>-4.0000000000000002E-4</v>
      </c>
      <c r="O41">
        <v>-8.0000000000000004E-4</v>
      </c>
      <c r="P41">
        <v>2.0999999999999999E-3</v>
      </c>
      <c r="Q41">
        <v>0.1157</v>
      </c>
      <c r="R41">
        <v>0.10199999999999999</v>
      </c>
      <c r="S41">
        <v>142</v>
      </c>
      <c r="T41" s="5">
        <v>55.8</v>
      </c>
      <c r="U41">
        <v>942.66666666666663</v>
      </c>
      <c r="V41">
        <v>1345512</v>
      </c>
      <c r="W41">
        <v>47567279435.529999</v>
      </c>
      <c r="X41">
        <v>34708788.659999996</v>
      </c>
      <c r="Y41">
        <v>2570091.08</v>
      </c>
      <c r="Z41">
        <v>2722513.46</v>
      </c>
      <c r="AA41">
        <v>181268273.77000001</v>
      </c>
      <c r="AB41">
        <v>0</v>
      </c>
      <c r="AC41">
        <v>181268273.77000001</v>
      </c>
    </row>
    <row r="42" spans="1:29" x14ac:dyDescent="0.3">
      <c r="A42" s="2">
        <v>44682</v>
      </c>
      <c r="B42">
        <v>22</v>
      </c>
      <c r="C42">
        <v>6758401.4100000001</v>
      </c>
      <c r="D42">
        <v>12058512.550000001</v>
      </c>
      <c r="E42">
        <v>3403071.52</v>
      </c>
      <c r="F42" s="6">
        <f t="shared" si="0"/>
        <v>22219985.48</v>
      </c>
      <c r="G42">
        <v>67763</v>
      </c>
      <c r="H42">
        <v>62321</v>
      </c>
      <c r="I42">
        <v>56112</v>
      </c>
      <c r="J42" s="3">
        <v>503</v>
      </c>
      <c r="K42" s="3">
        <v>5018</v>
      </c>
      <c r="L42" s="3">
        <v>110</v>
      </c>
      <c r="M42" s="3">
        <v>4696</v>
      </c>
      <c r="N42">
        <v>1.15E-2</v>
      </c>
      <c r="O42">
        <v>1.0699999999999999E-2</v>
      </c>
      <c r="P42">
        <v>1.61E-2</v>
      </c>
      <c r="Q42">
        <v>0.11840000000000001</v>
      </c>
      <c r="R42">
        <v>9.9000000000000005E-2</v>
      </c>
      <c r="S42">
        <v>142.22999999999999</v>
      </c>
      <c r="T42" s="5">
        <v>55.8</v>
      </c>
      <c r="U42">
        <v>942.66666666666663</v>
      </c>
      <c r="V42">
        <v>1606885</v>
      </c>
      <c r="W42">
        <v>26945623521.860001</v>
      </c>
      <c r="X42">
        <v>40251629.509999998</v>
      </c>
      <c r="Y42">
        <v>3036239.93</v>
      </c>
      <c r="Z42">
        <v>3173718.05</v>
      </c>
      <c r="AA42">
        <v>187438388.21000001</v>
      </c>
      <c r="AB42">
        <v>0</v>
      </c>
      <c r="AC42">
        <v>187438388.21000001</v>
      </c>
    </row>
    <row r="43" spans="1:29" x14ac:dyDescent="0.3">
      <c r="A43" s="2">
        <v>44713</v>
      </c>
      <c r="B43">
        <v>21</v>
      </c>
      <c r="C43">
        <v>5557320.4100000001</v>
      </c>
      <c r="D43">
        <v>11833714.4</v>
      </c>
      <c r="E43">
        <v>3807434.61</v>
      </c>
      <c r="F43" s="6">
        <f t="shared" si="0"/>
        <v>21198469.420000002</v>
      </c>
      <c r="G43">
        <v>66929</v>
      </c>
      <c r="H43">
        <v>56836</v>
      </c>
      <c r="I43">
        <v>57654</v>
      </c>
      <c r="J43" s="3">
        <v>502</v>
      </c>
      <c r="K43" s="3">
        <v>5025</v>
      </c>
      <c r="L43" s="3">
        <v>111</v>
      </c>
      <c r="M43" s="3">
        <v>5002</v>
      </c>
      <c r="N43">
        <v>1.0699999999999999E-2</v>
      </c>
      <c r="O43">
        <v>8.8000000000000005E-3</v>
      </c>
      <c r="P43">
        <v>2.9999999999999997E-4</v>
      </c>
      <c r="Q43">
        <v>0.1211</v>
      </c>
      <c r="R43">
        <v>9.6000000000000002E-2</v>
      </c>
      <c r="S43">
        <v>143.18</v>
      </c>
      <c r="T43" s="5">
        <v>55.8</v>
      </c>
      <c r="U43">
        <v>942.66666666666663</v>
      </c>
      <c r="V43">
        <v>1490552</v>
      </c>
      <c r="W43">
        <v>16818294617.790001</v>
      </c>
      <c r="X43">
        <v>37932136.359999999</v>
      </c>
      <c r="Y43">
        <v>2833014.83</v>
      </c>
      <c r="Z43">
        <v>2941568.47</v>
      </c>
      <c r="AA43">
        <v>214081771.31</v>
      </c>
      <c r="AB43">
        <v>0</v>
      </c>
      <c r="AC43">
        <v>214081771.31</v>
      </c>
    </row>
    <row r="44" spans="1:29" x14ac:dyDescent="0.3">
      <c r="A44" s="2">
        <v>44743</v>
      </c>
      <c r="B44">
        <v>21</v>
      </c>
      <c r="C44">
        <v>5626482.9900000002</v>
      </c>
      <c r="D44">
        <v>12151531.890000001</v>
      </c>
      <c r="E44">
        <v>4094954.41</v>
      </c>
      <c r="F44" s="6">
        <f t="shared" si="0"/>
        <v>21872969.290000003</v>
      </c>
      <c r="G44">
        <v>70005</v>
      </c>
      <c r="H44">
        <v>56286</v>
      </c>
      <c r="I44">
        <v>62898</v>
      </c>
      <c r="J44" s="3">
        <v>502</v>
      </c>
      <c r="K44" s="3">
        <v>5026</v>
      </c>
      <c r="L44" s="3">
        <v>111</v>
      </c>
      <c r="M44" s="3">
        <v>5028</v>
      </c>
      <c r="N44">
        <v>-6.9999999999999993E-3</v>
      </c>
      <c r="O44">
        <v>-6.7999999999999996E-3</v>
      </c>
      <c r="P44">
        <v>9.5999999999999992E-3</v>
      </c>
      <c r="Q44">
        <v>0.1239</v>
      </c>
      <c r="R44">
        <v>9.4E-2</v>
      </c>
      <c r="S44">
        <v>145.56</v>
      </c>
      <c r="T44" s="5">
        <v>56.3</v>
      </c>
      <c r="U44">
        <v>942.66666666666663</v>
      </c>
      <c r="V44">
        <v>1530086</v>
      </c>
      <c r="W44">
        <v>19526925836.470001</v>
      </c>
      <c r="X44">
        <v>38478095.759999998</v>
      </c>
      <c r="Y44">
        <v>2871915.27</v>
      </c>
      <c r="Z44">
        <v>2993776.75</v>
      </c>
      <c r="AA44">
        <v>221784275.74000001</v>
      </c>
      <c r="AB44">
        <v>0</v>
      </c>
      <c r="AC44">
        <v>221784275.74000001</v>
      </c>
    </row>
    <row r="45" spans="1:29" x14ac:dyDescent="0.3">
      <c r="A45" s="2">
        <v>44774</v>
      </c>
      <c r="B45">
        <v>22</v>
      </c>
      <c r="C45">
        <v>6775942.0199999996</v>
      </c>
      <c r="D45">
        <v>13608627.42</v>
      </c>
      <c r="E45">
        <v>4458043.1199999992</v>
      </c>
      <c r="F45" s="6">
        <f t="shared" si="0"/>
        <v>24842612.559999995</v>
      </c>
      <c r="G45">
        <v>64028</v>
      </c>
      <c r="H45">
        <v>67058</v>
      </c>
      <c r="I45">
        <v>56726</v>
      </c>
      <c r="J45" s="3">
        <v>502</v>
      </c>
      <c r="K45" s="3">
        <v>5033</v>
      </c>
      <c r="L45" s="3">
        <v>112</v>
      </c>
      <c r="M45" s="3">
        <v>5197</v>
      </c>
      <c r="N45">
        <v>-4.4000000000000003E-3</v>
      </c>
      <c r="O45">
        <v>-3.5999999999999999E-3</v>
      </c>
      <c r="P45">
        <v>1.2200000000000001E-2</v>
      </c>
      <c r="Q45">
        <v>0.12659999999999999</v>
      </c>
      <c r="R45">
        <v>9.0999999999999998E-2</v>
      </c>
      <c r="S45">
        <v>147.19999999999999</v>
      </c>
      <c r="T45" s="5">
        <v>56.3</v>
      </c>
      <c r="U45">
        <v>942.66666666666663</v>
      </c>
      <c r="V45">
        <v>1651113</v>
      </c>
      <c r="W45">
        <v>19973153310.98</v>
      </c>
      <c r="X45">
        <v>41215669.509999998</v>
      </c>
      <c r="Y45">
        <v>3087462.53</v>
      </c>
      <c r="Z45">
        <v>3266909.94</v>
      </c>
      <c r="AA45">
        <v>229120986.84999999</v>
      </c>
      <c r="AB45">
        <v>0</v>
      </c>
      <c r="AC45">
        <v>229120986.84999999</v>
      </c>
    </row>
    <row r="46" spans="1:29" x14ac:dyDescent="0.3">
      <c r="A46" s="2">
        <v>44805</v>
      </c>
      <c r="B46">
        <v>21</v>
      </c>
      <c r="C46">
        <v>5632001.21</v>
      </c>
      <c r="D46">
        <v>11652225.43</v>
      </c>
      <c r="E46">
        <v>4626121.59</v>
      </c>
      <c r="F46" s="6">
        <f t="shared" si="0"/>
        <v>21910348.23</v>
      </c>
      <c r="G46">
        <v>64369</v>
      </c>
      <c r="H46">
        <v>63438</v>
      </c>
      <c r="I46">
        <v>54962</v>
      </c>
      <c r="J46" s="3">
        <v>502</v>
      </c>
      <c r="K46" s="3">
        <v>5033</v>
      </c>
      <c r="L46" s="3">
        <v>111</v>
      </c>
      <c r="M46" s="3">
        <v>5138</v>
      </c>
      <c r="N46">
        <v>-3.8E-3</v>
      </c>
      <c r="O46">
        <v>-2.8999999999999998E-3</v>
      </c>
      <c r="P46">
        <v>-1.4E-3</v>
      </c>
      <c r="Q46">
        <v>0.1293</v>
      </c>
      <c r="R46">
        <v>8.8000000000000009E-2</v>
      </c>
      <c r="S46">
        <v>150.63</v>
      </c>
      <c r="T46" s="5">
        <v>56.3</v>
      </c>
      <c r="U46">
        <v>942.66666666666663</v>
      </c>
      <c r="V46">
        <v>1566274</v>
      </c>
      <c r="W46">
        <v>45917476585.279999</v>
      </c>
      <c r="X46">
        <v>37688901.939999998</v>
      </c>
      <c r="Y46">
        <v>2791170.35</v>
      </c>
      <c r="Z46">
        <v>2993516.82</v>
      </c>
      <c r="AA46">
        <v>239791484.37</v>
      </c>
      <c r="AB46">
        <v>0</v>
      </c>
      <c r="AC46">
        <v>239791484.37</v>
      </c>
    </row>
    <row r="47" spans="1:29" x14ac:dyDescent="0.3">
      <c r="A47" s="2">
        <v>44835</v>
      </c>
      <c r="B47">
        <v>20</v>
      </c>
      <c r="C47">
        <v>5617766.5600000015</v>
      </c>
      <c r="D47">
        <v>12261675.52</v>
      </c>
      <c r="E47">
        <v>4516776.99</v>
      </c>
      <c r="F47" s="6">
        <f t="shared" si="0"/>
        <v>22396219.07</v>
      </c>
      <c r="G47">
        <v>59036</v>
      </c>
      <c r="H47">
        <v>57880</v>
      </c>
      <c r="I47">
        <v>51615</v>
      </c>
      <c r="J47" s="3">
        <v>502</v>
      </c>
      <c r="K47" s="3">
        <v>5034</v>
      </c>
      <c r="L47" s="3">
        <v>112</v>
      </c>
      <c r="M47" s="3">
        <v>5277</v>
      </c>
      <c r="N47">
        <v>-2.8E-3</v>
      </c>
      <c r="O47">
        <v>-2E-3</v>
      </c>
      <c r="P47">
        <v>5.5000000000000014E-3</v>
      </c>
      <c r="Q47">
        <v>0.13200000000000001</v>
      </c>
      <c r="R47">
        <v>8.5000000000000006E-2</v>
      </c>
      <c r="S47">
        <v>149.68</v>
      </c>
      <c r="T47" s="5">
        <v>57.1</v>
      </c>
      <c r="U47">
        <v>942.66666666666663</v>
      </c>
      <c r="V47">
        <v>1390672</v>
      </c>
      <c r="W47">
        <v>33443363876.779999</v>
      </c>
      <c r="X47">
        <v>36488000.649999999</v>
      </c>
      <c r="Y47">
        <v>2700062.07</v>
      </c>
      <c r="Z47">
        <v>2756540.11</v>
      </c>
      <c r="AA47">
        <v>247083499.21000001</v>
      </c>
      <c r="AB47">
        <v>0</v>
      </c>
      <c r="AC47">
        <v>247083499.21000001</v>
      </c>
    </row>
    <row r="48" spans="1:29" x14ac:dyDescent="0.3">
      <c r="A48" s="2">
        <v>44866</v>
      </c>
      <c r="B48">
        <v>20</v>
      </c>
      <c r="C48">
        <v>5998211.54</v>
      </c>
      <c r="D48">
        <v>10844642.26</v>
      </c>
      <c r="E48">
        <v>4570783.26</v>
      </c>
      <c r="F48" s="6">
        <f t="shared" si="0"/>
        <v>21413637.060000002</v>
      </c>
      <c r="G48">
        <v>60944</v>
      </c>
      <c r="H48">
        <v>56307</v>
      </c>
      <c r="I48">
        <v>54006</v>
      </c>
      <c r="J48" s="3">
        <v>502</v>
      </c>
      <c r="K48" s="3">
        <v>5034</v>
      </c>
      <c r="L48" s="3">
        <v>112</v>
      </c>
      <c r="M48" s="3">
        <v>5272</v>
      </c>
      <c r="N48">
        <v>7.8000000000000014E-3</v>
      </c>
      <c r="O48">
        <v>7.9000000000000008E-3</v>
      </c>
      <c r="P48">
        <v>-1.9900000000000001E-2</v>
      </c>
      <c r="Q48">
        <v>0.1348</v>
      </c>
      <c r="R48">
        <v>8.199999999999999E-2</v>
      </c>
      <c r="S48">
        <v>151.18</v>
      </c>
      <c r="T48" s="5">
        <v>57.1</v>
      </c>
      <c r="U48">
        <v>942.66666666666663</v>
      </c>
      <c r="V48">
        <v>1440750</v>
      </c>
      <c r="W48">
        <v>23190972847.810001</v>
      </c>
      <c r="X48">
        <v>38036306.5</v>
      </c>
      <c r="Y48">
        <v>2839009.72</v>
      </c>
      <c r="Z48">
        <v>2803601.43</v>
      </c>
      <c r="AA48">
        <v>250169819.00999999</v>
      </c>
      <c r="AB48">
        <v>0</v>
      </c>
      <c r="AC48">
        <v>250169819.00999999</v>
      </c>
    </row>
    <row r="49" spans="1:29" x14ac:dyDescent="0.3">
      <c r="A49" s="2">
        <v>44896</v>
      </c>
      <c r="B49">
        <v>22</v>
      </c>
      <c r="C49">
        <v>5396739.3799999999</v>
      </c>
      <c r="D49">
        <v>10408888.789999999</v>
      </c>
      <c r="E49">
        <v>4832901.33</v>
      </c>
      <c r="F49" s="6">
        <f t="shared" si="0"/>
        <v>20638529.5</v>
      </c>
      <c r="G49">
        <v>44250</v>
      </c>
      <c r="H49">
        <v>44505</v>
      </c>
      <c r="I49">
        <v>35138</v>
      </c>
      <c r="J49" s="3">
        <v>502</v>
      </c>
      <c r="K49" s="3">
        <v>5034</v>
      </c>
      <c r="L49" s="3">
        <v>112</v>
      </c>
      <c r="M49" s="3">
        <v>5279</v>
      </c>
      <c r="N49">
        <v>1.6299999999999999E-2</v>
      </c>
      <c r="O49">
        <v>1.6E-2</v>
      </c>
      <c r="P49">
        <v>-2.2000000000000001E-3</v>
      </c>
      <c r="Q49">
        <v>0.13750000000000001</v>
      </c>
      <c r="R49">
        <v>7.9000000000000001E-2</v>
      </c>
      <c r="S49">
        <v>151.66</v>
      </c>
      <c r="T49" s="5">
        <v>57.1</v>
      </c>
      <c r="U49">
        <v>942.66666666666663</v>
      </c>
      <c r="V49">
        <v>1482683</v>
      </c>
      <c r="W49">
        <v>209619518805.69</v>
      </c>
      <c r="X49">
        <v>44642322.509999998</v>
      </c>
      <c r="Y49">
        <v>3234069.87</v>
      </c>
      <c r="Z49">
        <v>3091482.73</v>
      </c>
      <c r="AA49">
        <v>249117146.93000001</v>
      </c>
      <c r="AB49">
        <v>0</v>
      </c>
      <c r="AC49">
        <v>249117146.93000001</v>
      </c>
    </row>
    <row r="50" spans="1:29" x14ac:dyDescent="0.3">
      <c r="A50" s="2">
        <v>44927</v>
      </c>
      <c r="B50">
        <v>22</v>
      </c>
      <c r="C50">
        <v>6877321.96</v>
      </c>
      <c r="D50">
        <v>10747159.960000001</v>
      </c>
      <c r="E50">
        <v>5136261.2300000004</v>
      </c>
      <c r="F50" s="6">
        <f t="shared" si="0"/>
        <v>22760743.150000002</v>
      </c>
      <c r="G50">
        <v>50232</v>
      </c>
      <c r="H50">
        <v>57717</v>
      </c>
      <c r="I50">
        <v>37499</v>
      </c>
      <c r="J50" s="3">
        <v>525</v>
      </c>
      <c r="K50" s="3">
        <v>5034</v>
      </c>
      <c r="L50" s="3">
        <v>112</v>
      </c>
      <c r="M50" s="3">
        <v>5291</v>
      </c>
      <c r="N50">
        <v>5.7999999999999996E-3</v>
      </c>
      <c r="O50">
        <v>5.5000000000000014E-3</v>
      </c>
      <c r="P50">
        <v>-4.0000000000000002E-4</v>
      </c>
      <c r="Q50">
        <v>0.13750000000000001</v>
      </c>
      <c r="R50">
        <v>7.9000000000000001E-2</v>
      </c>
      <c r="S50">
        <v>155.13999999999999</v>
      </c>
      <c r="T50" s="5">
        <v>57.5</v>
      </c>
      <c r="U50">
        <v>944.08333333333337</v>
      </c>
      <c r="V50">
        <v>1447814</v>
      </c>
      <c r="W50">
        <v>24360639282.720001</v>
      </c>
      <c r="X50">
        <v>36830321.350000001</v>
      </c>
      <c r="Y50">
        <v>2812376.02</v>
      </c>
      <c r="Z50">
        <v>2962139.9</v>
      </c>
      <c r="AA50">
        <v>276484588.52999997</v>
      </c>
      <c r="AB50">
        <v>0</v>
      </c>
      <c r="AC50">
        <v>276484588.52999997</v>
      </c>
    </row>
    <row r="51" spans="1:29" x14ac:dyDescent="0.3">
      <c r="A51" s="2">
        <v>44958</v>
      </c>
      <c r="B51">
        <v>19</v>
      </c>
      <c r="C51">
        <v>5100730.54</v>
      </c>
      <c r="D51">
        <v>11319138.689999999</v>
      </c>
      <c r="E51">
        <v>4948420.5599999996</v>
      </c>
      <c r="F51" s="6">
        <f t="shared" si="0"/>
        <v>21368289.789999999</v>
      </c>
      <c r="G51">
        <v>58926</v>
      </c>
      <c r="H51">
        <v>54100</v>
      </c>
      <c r="I51">
        <v>47096</v>
      </c>
      <c r="J51" s="3">
        <v>525</v>
      </c>
      <c r="K51" s="3">
        <v>5048</v>
      </c>
      <c r="L51" s="3">
        <v>112</v>
      </c>
      <c r="M51" s="3">
        <v>5319</v>
      </c>
      <c r="N51">
        <v>0</v>
      </c>
      <c r="O51">
        <v>-8.0000000000000004E-4</v>
      </c>
      <c r="P51">
        <v>-2.7000000000000001E-3</v>
      </c>
      <c r="Q51">
        <v>0.13569999999999999</v>
      </c>
      <c r="R51">
        <v>7.9000000000000001E-2</v>
      </c>
      <c r="S51">
        <v>154.13</v>
      </c>
      <c r="T51" s="5">
        <v>57.5</v>
      </c>
      <c r="U51">
        <v>944.08333333333337</v>
      </c>
      <c r="V51">
        <v>1232353</v>
      </c>
      <c r="W51">
        <v>78758638616.979996</v>
      </c>
      <c r="X51">
        <v>32455188.510000002</v>
      </c>
      <c r="Y51">
        <v>2438244.91</v>
      </c>
      <c r="Z51">
        <v>2599155.15</v>
      </c>
      <c r="AA51">
        <v>284509826.63</v>
      </c>
      <c r="AB51">
        <v>0</v>
      </c>
      <c r="AC51">
        <v>284509826.63</v>
      </c>
    </row>
    <row r="52" spans="1:29" x14ac:dyDescent="0.3">
      <c r="A52" s="2">
        <v>44986</v>
      </c>
      <c r="B52">
        <v>23</v>
      </c>
      <c r="C52">
        <v>5879727.04</v>
      </c>
      <c r="D52">
        <v>14078935.76</v>
      </c>
      <c r="E52">
        <v>5497465.3300000001</v>
      </c>
      <c r="F52" s="6">
        <f t="shared" si="0"/>
        <v>25456128.130000003</v>
      </c>
      <c r="G52">
        <v>78224</v>
      </c>
      <c r="H52">
        <v>72997</v>
      </c>
      <c r="I52">
        <v>60337</v>
      </c>
      <c r="J52" s="3">
        <v>525</v>
      </c>
      <c r="K52" s="3">
        <v>5054</v>
      </c>
      <c r="L52" s="3">
        <v>112</v>
      </c>
      <c r="M52" s="3">
        <v>5361</v>
      </c>
      <c r="N52">
        <v>5.5000000000000014E-3</v>
      </c>
      <c r="O52">
        <v>5.5000000000000014E-3</v>
      </c>
      <c r="P52">
        <v>-1.5E-3</v>
      </c>
      <c r="Q52">
        <v>0.13389999999999999</v>
      </c>
      <c r="R52">
        <v>7.8E-2</v>
      </c>
      <c r="S52">
        <v>153.07</v>
      </c>
      <c r="T52" s="5">
        <v>57.5</v>
      </c>
      <c r="U52">
        <v>944.08333333333337</v>
      </c>
      <c r="V52">
        <v>1561943</v>
      </c>
      <c r="W52">
        <v>143661544301.38</v>
      </c>
      <c r="X52">
        <v>43189576.659999996</v>
      </c>
      <c r="Y52">
        <v>3220436.66</v>
      </c>
      <c r="Z52">
        <v>3278540.05</v>
      </c>
      <c r="AA52">
        <v>293046068.48000002</v>
      </c>
      <c r="AB52">
        <v>225493495.48999989</v>
      </c>
      <c r="AC52">
        <v>518539563.97000009</v>
      </c>
    </row>
    <row r="53" spans="1:29" x14ac:dyDescent="0.3">
      <c r="A53" s="2">
        <v>45017</v>
      </c>
      <c r="B53">
        <v>18</v>
      </c>
      <c r="C53">
        <v>5078925.6400000006</v>
      </c>
      <c r="D53">
        <v>11131314.16</v>
      </c>
      <c r="E53">
        <v>4745125.09</v>
      </c>
      <c r="F53" s="6">
        <f t="shared" si="0"/>
        <v>20955364.890000001</v>
      </c>
      <c r="G53">
        <v>57724</v>
      </c>
      <c r="H53">
        <v>55184</v>
      </c>
      <c r="I53">
        <v>45171</v>
      </c>
      <c r="J53" s="3">
        <v>525</v>
      </c>
      <c r="K53" s="3">
        <v>5055</v>
      </c>
      <c r="L53" s="3">
        <v>112</v>
      </c>
      <c r="M53" s="3">
        <v>5398</v>
      </c>
      <c r="N53">
        <v>4.7999999999999996E-3</v>
      </c>
      <c r="O53">
        <v>3.3E-3</v>
      </c>
      <c r="P53">
        <v>1E-3</v>
      </c>
      <c r="Q53">
        <v>0.13200000000000001</v>
      </c>
      <c r="R53">
        <v>7.8E-2</v>
      </c>
      <c r="S53">
        <v>152.37</v>
      </c>
      <c r="T53" s="5">
        <v>58.9</v>
      </c>
      <c r="U53">
        <v>944.08333333333337</v>
      </c>
      <c r="V53">
        <v>1249110</v>
      </c>
      <c r="W53">
        <v>25374778710.200001</v>
      </c>
      <c r="X53">
        <v>35242689.32</v>
      </c>
      <c r="Y53">
        <v>2611140.67</v>
      </c>
      <c r="Z53">
        <v>2563403.34</v>
      </c>
      <c r="AA53">
        <v>303323978.14999998</v>
      </c>
      <c r="AB53">
        <v>-7713076.1800000072</v>
      </c>
      <c r="AC53">
        <v>295610901.97000009</v>
      </c>
    </row>
    <row r="54" spans="1:29" x14ac:dyDescent="0.3">
      <c r="A54" s="2">
        <v>45047</v>
      </c>
      <c r="B54">
        <v>22</v>
      </c>
      <c r="C54">
        <v>6935275.6200000001</v>
      </c>
      <c r="D54">
        <v>14812840.92</v>
      </c>
      <c r="E54">
        <v>5617301.5600000015</v>
      </c>
      <c r="F54" s="6">
        <f t="shared" si="0"/>
        <v>27365418.100000001</v>
      </c>
      <c r="G54">
        <v>83276</v>
      </c>
      <c r="H54">
        <v>72706</v>
      </c>
      <c r="I54">
        <v>69034</v>
      </c>
      <c r="J54" s="3">
        <v>525</v>
      </c>
      <c r="K54" s="3">
        <v>5094</v>
      </c>
      <c r="L54" s="3">
        <v>112</v>
      </c>
      <c r="M54" s="3">
        <v>5422</v>
      </c>
      <c r="N54">
        <v>2.2000000000000001E-3</v>
      </c>
      <c r="O54">
        <v>2.5000000000000001E-3</v>
      </c>
      <c r="P54">
        <v>-6.1000000000000004E-3</v>
      </c>
      <c r="Q54">
        <v>0.13020000000000001</v>
      </c>
      <c r="R54">
        <v>7.6999999999999999E-2</v>
      </c>
      <c r="S54">
        <v>149.38999999999999</v>
      </c>
      <c r="T54" s="5">
        <v>58.9</v>
      </c>
      <c r="U54">
        <v>944.08333333333337</v>
      </c>
      <c r="V54">
        <v>1599918</v>
      </c>
      <c r="W54">
        <v>14650558609.16</v>
      </c>
      <c r="X54">
        <v>42220300.560000002</v>
      </c>
      <c r="Y54">
        <v>3164670.39</v>
      </c>
      <c r="Z54">
        <v>3233244.69</v>
      </c>
      <c r="AA54">
        <v>308570258.27999997</v>
      </c>
      <c r="AB54">
        <v>-6377523.7300000032</v>
      </c>
      <c r="AC54">
        <v>302192734.54999977</v>
      </c>
    </row>
    <row r="55" spans="1:29" x14ac:dyDescent="0.3">
      <c r="A55" s="2">
        <v>45078</v>
      </c>
      <c r="B55">
        <v>21</v>
      </c>
      <c r="C55">
        <v>5861005.3499999996</v>
      </c>
      <c r="D55">
        <v>15359140.42</v>
      </c>
      <c r="E55">
        <v>5589681.4299999997</v>
      </c>
      <c r="F55" s="6">
        <f t="shared" si="0"/>
        <v>26809827.199999999</v>
      </c>
      <c r="G55">
        <v>84423</v>
      </c>
      <c r="H55">
        <v>67793</v>
      </c>
      <c r="I55">
        <v>56226</v>
      </c>
      <c r="J55" s="3">
        <v>525</v>
      </c>
      <c r="K55" s="3">
        <v>5098</v>
      </c>
      <c r="L55" s="3">
        <v>112</v>
      </c>
      <c r="M55" s="3">
        <v>5800</v>
      </c>
      <c r="N55">
        <v>9.0000000000000011E-3</v>
      </c>
      <c r="O55">
        <v>6.3E-3</v>
      </c>
      <c r="P55">
        <v>8.5000000000000006E-3</v>
      </c>
      <c r="Q55">
        <v>0.12839999999999999</v>
      </c>
      <c r="R55">
        <v>7.6999999999999999E-2</v>
      </c>
      <c r="S55">
        <v>148.80000000000001</v>
      </c>
      <c r="T55" s="5">
        <v>58.9</v>
      </c>
      <c r="U55">
        <v>944.08333333333337</v>
      </c>
      <c r="V55">
        <v>1453418</v>
      </c>
      <c r="W55">
        <v>512204768855.64001</v>
      </c>
      <c r="X55">
        <v>39009420.899999999</v>
      </c>
      <c r="Y55">
        <v>2902272.96</v>
      </c>
      <c r="Z55">
        <v>2999309.13</v>
      </c>
      <c r="AA55">
        <v>322294093.55000001</v>
      </c>
      <c r="AB55">
        <v>6253987.620000002</v>
      </c>
      <c r="AC55">
        <v>328548081.17000002</v>
      </c>
    </row>
    <row r="56" spans="1:29" x14ac:dyDescent="0.3">
      <c r="A56" s="2">
        <v>45108</v>
      </c>
      <c r="B56">
        <v>21</v>
      </c>
      <c r="C56">
        <v>6512981.0600000015</v>
      </c>
      <c r="D56">
        <v>15345321.189999999</v>
      </c>
      <c r="E56">
        <v>5716878.7599999998</v>
      </c>
      <c r="F56" s="6">
        <f t="shared" si="0"/>
        <v>27575181.009999998</v>
      </c>
      <c r="G56">
        <v>74080</v>
      </c>
      <c r="H56">
        <v>63519</v>
      </c>
      <c r="I56">
        <v>54693</v>
      </c>
      <c r="J56" s="3">
        <v>525</v>
      </c>
      <c r="K56" s="3">
        <v>5128</v>
      </c>
      <c r="L56" s="3">
        <v>112</v>
      </c>
      <c r="M56" s="3">
        <v>6113</v>
      </c>
      <c r="N56">
        <v>8.199999999999999E-3</v>
      </c>
      <c r="O56">
        <v>7.6E-3</v>
      </c>
      <c r="P56">
        <v>-6.9999999999999993E-3</v>
      </c>
      <c r="Q56">
        <v>0.12659999999999999</v>
      </c>
      <c r="R56">
        <v>7.5999999999999998E-2</v>
      </c>
      <c r="S56">
        <v>147.86000000000001</v>
      </c>
      <c r="T56" s="5">
        <v>59.3</v>
      </c>
      <c r="U56">
        <v>944.08333333333337</v>
      </c>
      <c r="V56">
        <v>1491182</v>
      </c>
      <c r="W56">
        <v>22901814811.009998</v>
      </c>
      <c r="X56">
        <v>40585566.869999997</v>
      </c>
      <c r="Y56">
        <v>3100265.25</v>
      </c>
      <c r="Z56">
        <v>3210522.34</v>
      </c>
      <c r="AA56">
        <v>333248927.77999997</v>
      </c>
      <c r="AB56">
        <v>-11214846.75</v>
      </c>
      <c r="AC56">
        <v>322034081.02999967</v>
      </c>
    </row>
    <row r="57" spans="1:29" x14ac:dyDescent="0.3">
      <c r="A57" s="2">
        <v>45139</v>
      </c>
      <c r="B57">
        <v>22</v>
      </c>
      <c r="C57">
        <v>6898338.3100000015</v>
      </c>
      <c r="D57">
        <v>15594894.07</v>
      </c>
      <c r="E57">
        <v>6089637.46</v>
      </c>
      <c r="F57" s="6">
        <f t="shared" si="0"/>
        <v>28582869.840000004</v>
      </c>
      <c r="G57">
        <v>75696</v>
      </c>
      <c r="H57">
        <v>76266</v>
      </c>
      <c r="I57">
        <v>61427</v>
      </c>
      <c r="J57" s="3">
        <v>525</v>
      </c>
      <c r="K57" s="3">
        <v>5099</v>
      </c>
      <c r="L57" s="3">
        <v>112</v>
      </c>
      <c r="M57" s="3">
        <v>5842</v>
      </c>
      <c r="N57">
        <v>6.4000000000000003E-3</v>
      </c>
      <c r="O57">
        <v>7.3000000000000001E-3</v>
      </c>
      <c r="P57">
        <v>-8.1000000000000013E-3</v>
      </c>
      <c r="Q57">
        <v>0.12479999999999999</v>
      </c>
      <c r="R57">
        <v>7.5999999999999998E-2</v>
      </c>
      <c r="S57">
        <v>148.29</v>
      </c>
      <c r="T57" s="5">
        <v>59.3</v>
      </c>
      <c r="U57">
        <v>944.08333333333337</v>
      </c>
      <c r="V57">
        <v>1561711</v>
      </c>
      <c r="W57">
        <v>42997779191.739998</v>
      </c>
      <c r="X57">
        <v>44391973.32</v>
      </c>
      <c r="Y57">
        <v>3378205.34</v>
      </c>
      <c r="Z57">
        <v>3448322.04</v>
      </c>
      <c r="AA57">
        <v>342060558.07999998</v>
      </c>
      <c r="AB57">
        <v>-4733064.4199999981</v>
      </c>
      <c r="AC57">
        <v>337327493.65999979</v>
      </c>
    </row>
    <row r="58" spans="1:29" x14ac:dyDescent="0.3">
      <c r="A58" s="2">
        <v>45170</v>
      </c>
      <c r="B58">
        <v>20</v>
      </c>
      <c r="C58">
        <v>6150849.8100000015</v>
      </c>
      <c r="D58">
        <v>11482786.779999999</v>
      </c>
      <c r="E58">
        <v>16772355.26</v>
      </c>
      <c r="F58" s="6">
        <f t="shared" si="0"/>
        <v>34405991.850000001</v>
      </c>
      <c r="G58">
        <v>67205</v>
      </c>
      <c r="H58">
        <v>63039</v>
      </c>
      <c r="I58">
        <v>51858</v>
      </c>
      <c r="J58" s="3">
        <v>525</v>
      </c>
      <c r="K58" s="3">
        <v>5106</v>
      </c>
      <c r="L58" s="3">
        <v>112</v>
      </c>
      <c r="M58" s="3">
        <v>5908</v>
      </c>
      <c r="N58">
        <v>8.9999999999999998E-4</v>
      </c>
      <c r="O58">
        <v>2E-3</v>
      </c>
      <c r="P58">
        <v>3.8E-3</v>
      </c>
      <c r="Q58">
        <v>0.123</v>
      </c>
      <c r="R58">
        <v>7.4999999999999997E-2</v>
      </c>
      <c r="S58">
        <v>149</v>
      </c>
      <c r="T58" s="5">
        <v>59.3</v>
      </c>
      <c r="U58">
        <v>944.08333333333337</v>
      </c>
      <c r="V58">
        <v>1363691</v>
      </c>
      <c r="W58">
        <v>94059927393.270004</v>
      </c>
      <c r="X58">
        <v>40494961.640000001</v>
      </c>
      <c r="Y58">
        <v>3081317.17</v>
      </c>
      <c r="Z58">
        <v>2988015.25</v>
      </c>
      <c r="AA58">
        <v>358804136.05000001</v>
      </c>
      <c r="AB58">
        <v>20570633.629999999</v>
      </c>
      <c r="AC58">
        <v>379374769.68000013</v>
      </c>
    </row>
    <row r="59" spans="1:29" x14ac:dyDescent="0.3">
      <c r="A59" s="2">
        <v>45200</v>
      </c>
      <c r="B59">
        <v>21</v>
      </c>
      <c r="C59">
        <v>6952877.6099999994</v>
      </c>
      <c r="D59">
        <v>13398967.869999999</v>
      </c>
      <c r="E59">
        <v>6402094.4800000004</v>
      </c>
      <c r="F59" s="6">
        <f t="shared" si="0"/>
        <v>26753939.959999997</v>
      </c>
      <c r="G59">
        <v>75462</v>
      </c>
      <c r="H59">
        <v>69832</v>
      </c>
      <c r="I59">
        <v>61267</v>
      </c>
      <c r="J59" s="3">
        <v>525</v>
      </c>
      <c r="K59" s="3">
        <v>5148</v>
      </c>
      <c r="L59" s="3">
        <v>112</v>
      </c>
      <c r="M59" s="3">
        <v>6212</v>
      </c>
      <c r="N59">
        <v>4.0999999999999986E-3</v>
      </c>
      <c r="O59">
        <v>3.5999999999999999E-3</v>
      </c>
      <c r="P59">
        <v>2E-3</v>
      </c>
      <c r="Q59">
        <v>0.1211</v>
      </c>
      <c r="R59">
        <v>7.4999999999999997E-2</v>
      </c>
      <c r="S59">
        <v>152.01</v>
      </c>
      <c r="T59" s="5">
        <v>60.4</v>
      </c>
      <c r="U59">
        <v>944.08333333333337</v>
      </c>
      <c r="V59">
        <v>1443816</v>
      </c>
      <c r="W59">
        <v>22934616891.68</v>
      </c>
      <c r="X59">
        <v>42382704.149999999</v>
      </c>
      <c r="Y59">
        <v>3240949.08</v>
      </c>
      <c r="Z59">
        <v>3171815.06</v>
      </c>
      <c r="AA59">
        <v>362694828.5</v>
      </c>
      <c r="AB59">
        <v>-7153545.7299999744</v>
      </c>
      <c r="AC59">
        <v>355541282.76999968</v>
      </c>
    </row>
    <row r="60" spans="1:29" x14ac:dyDescent="0.3">
      <c r="A60" s="2">
        <v>45231</v>
      </c>
      <c r="B60">
        <v>20</v>
      </c>
      <c r="C60">
        <v>5855222.2000000002</v>
      </c>
      <c r="D60">
        <v>12063220.119999999</v>
      </c>
      <c r="E60">
        <v>6247146.290000001</v>
      </c>
      <c r="F60" s="6">
        <f t="shared" si="0"/>
        <v>24165588.609999999</v>
      </c>
      <c r="G60">
        <v>75216</v>
      </c>
      <c r="H60">
        <v>64719</v>
      </c>
      <c r="I60">
        <v>59485</v>
      </c>
      <c r="J60" s="3">
        <v>525</v>
      </c>
      <c r="K60" s="3">
        <v>5146</v>
      </c>
      <c r="L60" s="3">
        <v>112</v>
      </c>
      <c r="M60" s="3">
        <v>6194</v>
      </c>
      <c r="N60">
        <v>5.3E-3</v>
      </c>
      <c r="O60">
        <v>5.5000000000000014E-3</v>
      </c>
      <c r="P60">
        <v>1.1000000000000001E-3</v>
      </c>
      <c r="Q60">
        <v>0.1193</v>
      </c>
      <c r="R60">
        <v>7.400000000000001E-2</v>
      </c>
      <c r="S60">
        <v>153.63999999999999</v>
      </c>
      <c r="T60" s="5">
        <v>60.4</v>
      </c>
      <c r="U60">
        <v>944.08333333333337</v>
      </c>
      <c r="V60">
        <v>1446851</v>
      </c>
      <c r="W60">
        <v>15046251023.190001</v>
      </c>
      <c r="X60">
        <v>41431286.229999997</v>
      </c>
      <c r="Y60">
        <v>3161141.05</v>
      </c>
      <c r="Z60">
        <v>3097604.78</v>
      </c>
      <c r="AA60">
        <v>364115610.42000002</v>
      </c>
      <c r="AB60">
        <v>15831323.779999999</v>
      </c>
      <c r="AC60">
        <v>379946934.20000023</v>
      </c>
    </row>
    <row r="61" spans="1:29" x14ac:dyDescent="0.3">
      <c r="A61" s="2">
        <v>45261</v>
      </c>
      <c r="B61">
        <v>20</v>
      </c>
      <c r="C61">
        <v>6192907.8499999996</v>
      </c>
      <c r="D61">
        <v>10892656.67</v>
      </c>
      <c r="E61">
        <v>6128792.9699999997</v>
      </c>
      <c r="F61" s="6">
        <f t="shared" si="0"/>
        <v>23214357.489999998</v>
      </c>
      <c r="G61">
        <v>79823</v>
      </c>
      <c r="H61">
        <v>54482</v>
      </c>
      <c r="I61">
        <v>69760</v>
      </c>
      <c r="J61" s="3">
        <v>525</v>
      </c>
      <c r="K61" s="3">
        <v>5149</v>
      </c>
      <c r="L61" s="3">
        <v>112</v>
      </c>
      <c r="M61" s="3">
        <v>6261</v>
      </c>
      <c r="N61">
        <v>8.1000000000000013E-3</v>
      </c>
      <c r="O61">
        <v>7.4000000000000003E-3</v>
      </c>
      <c r="P61">
        <v>1.1000000000000001E-3</v>
      </c>
      <c r="Q61">
        <v>0.11749999999999999</v>
      </c>
      <c r="R61">
        <v>7.400000000000001E-2</v>
      </c>
      <c r="S61">
        <v>152.97</v>
      </c>
      <c r="T61" s="5">
        <v>60.4</v>
      </c>
      <c r="U61">
        <v>944.08333333333337</v>
      </c>
      <c r="V61">
        <v>1419919</v>
      </c>
      <c r="W61">
        <v>62599754795.790001</v>
      </c>
      <c r="X61">
        <v>46759339.079999998</v>
      </c>
      <c r="Y61">
        <v>3451813.85</v>
      </c>
      <c r="Z61">
        <v>3146783.08</v>
      </c>
      <c r="AA61">
        <v>346572896.24000001</v>
      </c>
      <c r="AB61">
        <v>17197944.06000001</v>
      </c>
      <c r="AC61">
        <v>363770840.29999959</v>
      </c>
    </row>
    <row r="62" spans="1:29" x14ac:dyDescent="0.3">
      <c r="A62" s="2">
        <v>45292</v>
      </c>
      <c r="B62">
        <v>22</v>
      </c>
      <c r="C62">
        <v>6924343</v>
      </c>
      <c r="D62">
        <v>11913732.76</v>
      </c>
      <c r="E62">
        <v>5841785.5999999996</v>
      </c>
      <c r="F62" s="6">
        <f t="shared" si="0"/>
        <v>24679861.359999999</v>
      </c>
      <c r="G62">
        <v>49452</v>
      </c>
      <c r="H62">
        <v>57017</v>
      </c>
      <c r="I62">
        <v>45071</v>
      </c>
      <c r="J62" s="3">
        <v>539</v>
      </c>
      <c r="K62" s="3">
        <v>5182</v>
      </c>
      <c r="L62" s="3">
        <v>112</v>
      </c>
      <c r="M62" s="3">
        <v>6270</v>
      </c>
      <c r="N62">
        <v>3.5999999999999999E-3</v>
      </c>
      <c r="O62">
        <v>3.0999999999999999E-3</v>
      </c>
      <c r="P62">
        <v>7.6E-3</v>
      </c>
      <c r="Q62">
        <v>0.1125</v>
      </c>
      <c r="R62">
        <v>7.400000000000001E-2</v>
      </c>
      <c r="S62">
        <v>151.83000000000001</v>
      </c>
      <c r="T62" s="5">
        <v>61</v>
      </c>
      <c r="U62">
        <v>749.83333333333337</v>
      </c>
      <c r="V62">
        <v>1504679</v>
      </c>
      <c r="W62">
        <v>273073042883.14001</v>
      </c>
      <c r="X62">
        <v>40674946.200000003</v>
      </c>
      <c r="Y62">
        <v>3154302.79</v>
      </c>
      <c r="Z62">
        <v>3304654.82</v>
      </c>
      <c r="AA62">
        <v>360518177.61000001</v>
      </c>
      <c r="AB62">
        <v>-38350162.539999992</v>
      </c>
      <c r="AC62">
        <v>322168015.07000011</v>
      </c>
    </row>
    <row r="63" spans="1:29" x14ac:dyDescent="0.3">
      <c r="A63" s="2">
        <v>45323</v>
      </c>
      <c r="B63">
        <v>20</v>
      </c>
      <c r="C63">
        <v>5666615</v>
      </c>
      <c r="D63">
        <v>12231620.380000001</v>
      </c>
      <c r="E63">
        <v>5996263.3399999999</v>
      </c>
      <c r="F63" s="6">
        <f t="shared" si="0"/>
        <v>23894498.720000003</v>
      </c>
      <c r="G63">
        <v>75142</v>
      </c>
      <c r="H63">
        <v>63033</v>
      </c>
      <c r="I63">
        <v>57313</v>
      </c>
      <c r="J63" s="3">
        <v>539</v>
      </c>
      <c r="K63" s="3">
        <v>5182</v>
      </c>
      <c r="L63" s="3">
        <v>112</v>
      </c>
      <c r="M63" s="3">
        <v>6294</v>
      </c>
      <c r="N63">
        <v>3.8E-3</v>
      </c>
      <c r="O63">
        <v>3.8999999999999998E-3</v>
      </c>
      <c r="P63">
        <v>1.1999999999999999E-3</v>
      </c>
      <c r="Q63">
        <v>0.1118</v>
      </c>
      <c r="R63">
        <v>7.400000000000001E-2</v>
      </c>
      <c r="S63">
        <v>152.76</v>
      </c>
      <c r="T63" s="5">
        <v>61</v>
      </c>
      <c r="U63">
        <v>749.83333333333337</v>
      </c>
      <c r="V63">
        <v>1255912</v>
      </c>
      <c r="W63">
        <v>17487420409.599998</v>
      </c>
      <c r="X63">
        <v>37716532.899999999</v>
      </c>
      <c r="Y63">
        <v>2918188.16</v>
      </c>
      <c r="Z63">
        <v>2850721.06</v>
      </c>
      <c r="AA63">
        <v>372447275.11000001</v>
      </c>
      <c r="AB63">
        <v>4344883.4099999992</v>
      </c>
      <c r="AC63">
        <v>376792158.52000022</v>
      </c>
    </row>
    <row r="64" spans="1:29" x14ac:dyDescent="0.3">
      <c r="A64" s="2">
        <v>45352</v>
      </c>
      <c r="B64">
        <v>18</v>
      </c>
      <c r="C64">
        <v>5962683</v>
      </c>
      <c r="D64">
        <v>13279763.33</v>
      </c>
      <c r="E64">
        <v>6748832.3599999994</v>
      </c>
      <c r="F64" s="6">
        <f t="shared" si="0"/>
        <v>25991278.689999998</v>
      </c>
      <c r="G64">
        <v>77849</v>
      </c>
      <c r="H64">
        <v>63944</v>
      </c>
      <c r="I64">
        <v>61748</v>
      </c>
      <c r="J64" s="3">
        <v>539</v>
      </c>
      <c r="K64" s="3">
        <v>5253</v>
      </c>
      <c r="L64" s="3">
        <v>112</v>
      </c>
      <c r="M64" s="3">
        <v>6304</v>
      </c>
      <c r="N64">
        <v>4.0000000000000002E-4</v>
      </c>
      <c r="O64">
        <v>1.1999999999999999E-3</v>
      </c>
      <c r="P64">
        <v>6.6E-3</v>
      </c>
      <c r="Q64">
        <v>0.1111</v>
      </c>
      <c r="R64">
        <v>7.2999999999999995E-2</v>
      </c>
      <c r="S64">
        <v>150.97999999999999</v>
      </c>
      <c r="T64" s="5">
        <v>61</v>
      </c>
      <c r="U64">
        <v>749.83333333333337</v>
      </c>
      <c r="V64">
        <v>1208221</v>
      </c>
      <c r="W64">
        <v>9369532545.4300003</v>
      </c>
      <c r="X64">
        <v>37477266.810000002</v>
      </c>
      <c r="Y64">
        <v>2881358.92</v>
      </c>
      <c r="Z64">
        <v>2776678.83</v>
      </c>
      <c r="AA64">
        <v>380261281.47000003</v>
      </c>
      <c r="AB64">
        <v>68515133.659999967</v>
      </c>
      <c r="AC64">
        <v>448776415.13000017</v>
      </c>
    </row>
    <row r="65" spans="1:29" x14ac:dyDescent="0.3">
      <c r="A65" s="2">
        <v>45383</v>
      </c>
      <c r="B65">
        <v>22</v>
      </c>
      <c r="C65">
        <v>6962904</v>
      </c>
      <c r="D65">
        <v>14221885.08</v>
      </c>
      <c r="E65">
        <v>6486562.1899999985</v>
      </c>
      <c r="F65" s="6">
        <f t="shared" si="0"/>
        <v>27671351.269999996</v>
      </c>
      <c r="G65">
        <v>86353</v>
      </c>
      <c r="H65">
        <v>77984</v>
      </c>
      <c r="I65">
        <v>64818</v>
      </c>
      <c r="J65" s="3">
        <v>539</v>
      </c>
      <c r="K65" s="3">
        <v>5255</v>
      </c>
      <c r="L65" s="3">
        <v>112</v>
      </c>
      <c r="M65" s="3">
        <v>6324</v>
      </c>
      <c r="N65">
        <v>-5.9999999999999995E-4</v>
      </c>
      <c r="O65">
        <v>8.9999999999999998E-4</v>
      </c>
      <c r="P65">
        <v>2.8999999999999998E-3</v>
      </c>
      <c r="Q65">
        <v>0.1105</v>
      </c>
      <c r="R65">
        <v>7.2999999999999995E-2</v>
      </c>
      <c r="S65">
        <v>153.93</v>
      </c>
      <c r="T65" s="5">
        <v>61.8</v>
      </c>
      <c r="U65">
        <v>749.83333333333337</v>
      </c>
      <c r="V65">
        <v>1522312</v>
      </c>
      <c r="W65">
        <v>20232051901.48</v>
      </c>
      <c r="X65">
        <v>44981655.109999999</v>
      </c>
      <c r="Y65">
        <v>3427807.38</v>
      </c>
      <c r="Z65">
        <v>3260601.96</v>
      </c>
      <c r="AA65">
        <v>381723577.35000002</v>
      </c>
      <c r="AB65">
        <v>17365821.07</v>
      </c>
      <c r="AC65">
        <v>399089398.42000008</v>
      </c>
    </row>
    <row r="66" spans="1:29" x14ac:dyDescent="0.3">
      <c r="A66" s="2">
        <v>45413</v>
      </c>
      <c r="B66">
        <v>21</v>
      </c>
      <c r="C66">
        <v>6182757</v>
      </c>
      <c r="D66">
        <v>14086925.02</v>
      </c>
      <c r="E66">
        <v>5777877.6000000006</v>
      </c>
      <c r="F66" s="6">
        <f t="shared" si="0"/>
        <v>26047559.620000001</v>
      </c>
      <c r="G66">
        <v>83251</v>
      </c>
      <c r="H66">
        <v>75231</v>
      </c>
      <c r="I66">
        <v>67120</v>
      </c>
      <c r="J66" s="3">
        <v>539</v>
      </c>
      <c r="K66" s="3">
        <v>5354</v>
      </c>
      <c r="L66" s="3">
        <v>113</v>
      </c>
      <c r="M66" s="3">
        <v>6340</v>
      </c>
      <c r="N66">
        <v>6.5000000000000006E-3</v>
      </c>
      <c r="O66">
        <v>6.8999999999999999E-3</v>
      </c>
      <c r="P66">
        <v>6.8999999999999999E-3</v>
      </c>
      <c r="Q66">
        <v>0.10979999999999999</v>
      </c>
      <c r="R66">
        <v>7.2999999999999995E-2</v>
      </c>
      <c r="S66">
        <v>155.9</v>
      </c>
      <c r="T66" s="5">
        <v>61.8</v>
      </c>
      <c r="U66">
        <v>749.83333333333337</v>
      </c>
      <c r="V66">
        <v>1444263</v>
      </c>
      <c r="W66">
        <v>18754387650.32</v>
      </c>
      <c r="X66">
        <v>45309385.549999997</v>
      </c>
      <c r="Y66">
        <v>3486928.32</v>
      </c>
      <c r="Z66">
        <v>3290857.2</v>
      </c>
      <c r="AA66">
        <v>388489890.24000001</v>
      </c>
      <c r="AB66">
        <v>2691188.2500000009</v>
      </c>
      <c r="AC66">
        <v>391181078.49000019</v>
      </c>
    </row>
    <row r="67" spans="1:29" x14ac:dyDescent="0.3">
      <c r="A67" s="2">
        <v>45444</v>
      </c>
      <c r="B67">
        <v>20</v>
      </c>
      <c r="C67">
        <v>6400180</v>
      </c>
      <c r="D67">
        <v>13546020.619999999</v>
      </c>
      <c r="E67">
        <v>6110749.4399999985</v>
      </c>
      <c r="F67" s="6">
        <f t="shared" ref="F67:F91" si="1">SUM(C67:E67)</f>
        <v>26056950.059999995</v>
      </c>
      <c r="G67">
        <v>87336</v>
      </c>
      <c r="H67">
        <v>70502</v>
      </c>
      <c r="I67">
        <v>65171</v>
      </c>
      <c r="J67" s="3">
        <v>539</v>
      </c>
      <c r="K67" s="3">
        <v>5361</v>
      </c>
      <c r="L67" s="3">
        <v>113</v>
      </c>
      <c r="M67" s="3">
        <v>6761</v>
      </c>
      <c r="N67">
        <v>9.4999999999999998E-3</v>
      </c>
      <c r="O67">
        <v>8.6E-3</v>
      </c>
      <c r="P67">
        <v>1.1299999999999999E-2</v>
      </c>
      <c r="Q67">
        <v>0.1091</v>
      </c>
      <c r="R67">
        <v>7.2000000000000008E-2</v>
      </c>
      <c r="S67">
        <v>155.4</v>
      </c>
      <c r="T67" s="5">
        <v>61.8</v>
      </c>
      <c r="U67">
        <v>749.83333333333337</v>
      </c>
      <c r="V67">
        <v>1411799</v>
      </c>
      <c r="W67">
        <v>28786813159.59</v>
      </c>
      <c r="X67">
        <v>44455737.079999998</v>
      </c>
      <c r="Y67">
        <v>3422707.01</v>
      </c>
      <c r="Z67">
        <v>3222229.44</v>
      </c>
      <c r="AA67">
        <v>391255808.26999998</v>
      </c>
      <c r="AB67">
        <v>0</v>
      </c>
      <c r="AC67">
        <v>391255808.26999998</v>
      </c>
    </row>
    <row r="68" spans="1:29" x14ac:dyDescent="0.3">
      <c r="A68" s="2">
        <v>45474</v>
      </c>
      <c r="B68">
        <v>23</v>
      </c>
      <c r="C68">
        <v>8082788</v>
      </c>
      <c r="D68">
        <v>16043729.32</v>
      </c>
      <c r="E68">
        <v>7015579.1600000001</v>
      </c>
      <c r="F68" s="6">
        <f t="shared" si="1"/>
        <v>31142096.48</v>
      </c>
      <c r="G68">
        <v>83326</v>
      </c>
      <c r="H68">
        <v>77057</v>
      </c>
      <c r="I68">
        <v>68818</v>
      </c>
      <c r="J68" s="3">
        <v>539</v>
      </c>
      <c r="K68" s="3">
        <v>5362</v>
      </c>
      <c r="L68" s="3">
        <v>114</v>
      </c>
      <c r="M68" s="3">
        <v>6908</v>
      </c>
      <c r="N68">
        <v>4.5000000000000014E-3</v>
      </c>
      <c r="O68">
        <v>4.3E-3</v>
      </c>
      <c r="P68">
        <v>1.8700000000000001E-2</v>
      </c>
      <c r="Q68">
        <v>0.1084</v>
      </c>
      <c r="R68">
        <v>7.2000000000000008E-2</v>
      </c>
      <c r="S68">
        <v>153.03</v>
      </c>
      <c r="T68" s="5">
        <v>62.6</v>
      </c>
      <c r="U68">
        <v>749.83333333333337</v>
      </c>
      <c r="V68">
        <v>1621608</v>
      </c>
      <c r="W68">
        <v>27174909974.389999</v>
      </c>
      <c r="X68">
        <v>49700833.259999998</v>
      </c>
      <c r="Y68">
        <v>3863676.55</v>
      </c>
      <c r="Z68">
        <v>3750911.85</v>
      </c>
      <c r="AA68">
        <v>399608464.86000001</v>
      </c>
      <c r="AB68">
        <v>0</v>
      </c>
      <c r="AC68">
        <v>399608464.86000001</v>
      </c>
    </row>
    <row r="69" spans="1:29" x14ac:dyDescent="0.3">
      <c r="A69" s="2">
        <v>45505</v>
      </c>
      <c r="B69">
        <v>21</v>
      </c>
      <c r="C69">
        <v>6625352</v>
      </c>
      <c r="D69">
        <v>13495444.789999999</v>
      </c>
      <c r="E69">
        <v>6807475.3600000003</v>
      </c>
      <c r="F69" s="6">
        <f t="shared" si="1"/>
        <v>26928272.149999999</v>
      </c>
      <c r="G69">
        <v>80153</v>
      </c>
      <c r="H69">
        <v>77245</v>
      </c>
      <c r="I69">
        <v>76173</v>
      </c>
      <c r="J69" s="3">
        <v>539</v>
      </c>
      <c r="K69" s="3">
        <v>5421</v>
      </c>
      <c r="L69" s="3">
        <v>114</v>
      </c>
      <c r="M69" s="3">
        <v>7143</v>
      </c>
      <c r="N69">
        <v>6.3E-3</v>
      </c>
      <c r="O69">
        <v>7.4999999999999997E-3</v>
      </c>
      <c r="P69">
        <v>-3.8999999999999998E-3</v>
      </c>
      <c r="Q69">
        <v>0.1077</v>
      </c>
      <c r="R69">
        <v>7.2000000000000008E-2</v>
      </c>
      <c r="S69">
        <v>155.26</v>
      </c>
      <c r="T69" s="5">
        <v>62.6</v>
      </c>
      <c r="U69">
        <v>749.83333333333337</v>
      </c>
      <c r="V69">
        <v>1520501</v>
      </c>
      <c r="W69">
        <v>30972328896.84</v>
      </c>
      <c r="X69">
        <v>46483340.439999998</v>
      </c>
      <c r="Y69">
        <v>3550944.97</v>
      </c>
      <c r="Z69">
        <v>3463753.79</v>
      </c>
      <c r="AA69">
        <v>407388504.31</v>
      </c>
      <c r="AB69">
        <v>0</v>
      </c>
      <c r="AC69">
        <v>407388504.31</v>
      </c>
    </row>
    <row r="70" spans="1:29" x14ac:dyDescent="0.3">
      <c r="A70" s="2">
        <v>45536</v>
      </c>
      <c r="B70">
        <v>21</v>
      </c>
      <c r="C70">
        <v>7269986</v>
      </c>
      <c r="D70">
        <v>13729974.23</v>
      </c>
      <c r="E70">
        <v>6293458.6600000001</v>
      </c>
      <c r="F70" s="6">
        <f t="shared" si="1"/>
        <v>27293418.890000001</v>
      </c>
      <c r="G70">
        <v>75828</v>
      </c>
      <c r="H70">
        <v>74078</v>
      </c>
      <c r="I70">
        <v>65712</v>
      </c>
      <c r="J70" s="3">
        <v>539</v>
      </c>
      <c r="K70" s="3">
        <v>5403</v>
      </c>
      <c r="L70" s="3">
        <v>114</v>
      </c>
      <c r="M70" s="3">
        <v>7083</v>
      </c>
      <c r="N70">
        <v>5.7999999999999996E-3</v>
      </c>
      <c r="O70">
        <v>5.6000000000000008E-3</v>
      </c>
      <c r="P70">
        <v>2.3099999999999999E-2</v>
      </c>
      <c r="Q70">
        <v>0.107</v>
      </c>
      <c r="R70">
        <v>7.2000000000000008E-2</v>
      </c>
      <c r="S70">
        <v>155.28</v>
      </c>
      <c r="T70" s="5">
        <v>62.6</v>
      </c>
      <c r="U70">
        <v>749.83333333333337</v>
      </c>
      <c r="V70">
        <v>1479398</v>
      </c>
      <c r="W70">
        <v>39238422338.279999</v>
      </c>
      <c r="X70">
        <v>47623191.289999999</v>
      </c>
      <c r="Y70">
        <v>3667667.91</v>
      </c>
      <c r="Z70">
        <v>3462418.75</v>
      </c>
      <c r="AA70">
        <v>416943649.42000002</v>
      </c>
      <c r="AB70">
        <v>0</v>
      </c>
      <c r="AC70">
        <v>416943649.42000002</v>
      </c>
    </row>
    <row r="71" spans="1:29" x14ac:dyDescent="0.3">
      <c r="A71" s="2">
        <v>45566</v>
      </c>
      <c r="B71">
        <v>23</v>
      </c>
      <c r="C71">
        <v>7773562</v>
      </c>
      <c r="D71">
        <v>14957560.34</v>
      </c>
      <c r="E71">
        <v>7494355.0600000015</v>
      </c>
      <c r="F71" s="6">
        <f t="shared" si="1"/>
        <v>30225477.400000002</v>
      </c>
      <c r="G71">
        <v>99478</v>
      </c>
      <c r="H71">
        <v>80374</v>
      </c>
      <c r="I71">
        <v>74672</v>
      </c>
      <c r="J71" s="3">
        <v>539</v>
      </c>
      <c r="K71" s="3">
        <v>5484</v>
      </c>
      <c r="L71" s="3">
        <v>114</v>
      </c>
      <c r="M71" s="3">
        <v>7308</v>
      </c>
      <c r="N71">
        <v>3.0000000000000001E-3</v>
      </c>
      <c r="O71">
        <v>2.5999999999999999E-3</v>
      </c>
      <c r="P71">
        <v>-9.5999999999999992E-3</v>
      </c>
      <c r="Q71">
        <v>0.10639999999999999</v>
      </c>
      <c r="R71">
        <v>7.0999999999999994E-2</v>
      </c>
      <c r="S71">
        <v>157.34</v>
      </c>
      <c r="T71" s="5">
        <v>63.5</v>
      </c>
      <c r="U71">
        <v>749.83333333333337</v>
      </c>
      <c r="V71">
        <v>1537434</v>
      </c>
      <c r="W71">
        <v>22674663449.650002</v>
      </c>
      <c r="X71">
        <v>49572377.82</v>
      </c>
      <c r="Y71">
        <v>3807237.88</v>
      </c>
      <c r="Z71">
        <v>3597789.08</v>
      </c>
      <c r="AA71">
        <v>419878078.77999997</v>
      </c>
      <c r="AB71">
        <v>0</v>
      </c>
      <c r="AC71">
        <v>419878078.77999997</v>
      </c>
    </row>
    <row r="72" spans="1:29" x14ac:dyDescent="0.3">
      <c r="A72" s="2">
        <v>45597</v>
      </c>
      <c r="B72">
        <v>19</v>
      </c>
      <c r="C72">
        <v>6497214</v>
      </c>
      <c r="D72">
        <v>11346549.6</v>
      </c>
      <c r="E72">
        <v>6704514.6099999994</v>
      </c>
      <c r="F72" s="6">
        <f t="shared" si="1"/>
        <v>24548278.210000001</v>
      </c>
      <c r="G72">
        <v>74733</v>
      </c>
      <c r="H72">
        <v>70388</v>
      </c>
      <c r="I72">
        <v>62231</v>
      </c>
      <c r="J72" s="3">
        <v>539</v>
      </c>
      <c r="K72" s="3">
        <v>5485</v>
      </c>
      <c r="L72" s="3">
        <v>114</v>
      </c>
      <c r="M72" s="3">
        <v>7337</v>
      </c>
      <c r="N72">
        <v>4.6999999999999993E-3</v>
      </c>
      <c r="O72">
        <v>5.6000000000000008E-3</v>
      </c>
      <c r="P72">
        <v>4.7999999999999996E-3</v>
      </c>
      <c r="Q72">
        <v>0.1057</v>
      </c>
      <c r="R72">
        <v>7.0999999999999994E-2</v>
      </c>
      <c r="S72">
        <v>155.15</v>
      </c>
      <c r="T72" s="5">
        <v>63.5</v>
      </c>
      <c r="U72">
        <v>749.83333333333337</v>
      </c>
      <c r="V72">
        <v>1397746</v>
      </c>
      <c r="W72">
        <v>23571070775.299999</v>
      </c>
      <c r="X72">
        <v>47122143.329999998</v>
      </c>
      <c r="Y72">
        <v>3694289.62</v>
      </c>
      <c r="Z72">
        <v>3344677.51</v>
      </c>
      <c r="AA72">
        <v>418069666.64999998</v>
      </c>
      <c r="AB72">
        <v>0</v>
      </c>
      <c r="AC72">
        <v>418069666.64999998</v>
      </c>
    </row>
    <row r="73" spans="1:29" x14ac:dyDescent="0.3">
      <c r="A73" s="2">
        <v>45627</v>
      </c>
      <c r="B73">
        <v>21</v>
      </c>
      <c r="C73">
        <v>7433992</v>
      </c>
      <c r="D73">
        <v>10194694.220000001</v>
      </c>
      <c r="E73">
        <v>8970194</v>
      </c>
      <c r="F73" s="6">
        <f t="shared" si="1"/>
        <v>26598880.219999999</v>
      </c>
      <c r="G73">
        <v>68497</v>
      </c>
      <c r="H73">
        <v>61287</v>
      </c>
      <c r="I73">
        <v>57078</v>
      </c>
      <c r="J73" s="3">
        <v>539</v>
      </c>
      <c r="K73" s="3">
        <v>5425</v>
      </c>
      <c r="L73" s="3">
        <v>114</v>
      </c>
      <c r="M73" s="3">
        <v>7281</v>
      </c>
      <c r="N73">
        <v>9.300000000000001E-3</v>
      </c>
      <c r="O73">
        <v>9.1000000000000004E-3</v>
      </c>
      <c r="P73">
        <v>1.0699999999999999E-2</v>
      </c>
      <c r="Q73">
        <v>0.105</v>
      </c>
      <c r="R73">
        <v>7.0999999999999994E-2</v>
      </c>
      <c r="S73">
        <v>154.44999999999999</v>
      </c>
      <c r="T73" s="5">
        <v>63.5</v>
      </c>
      <c r="U73">
        <v>749.83333333333337</v>
      </c>
      <c r="V73">
        <v>1358230</v>
      </c>
      <c r="W73">
        <v>30865195297.32</v>
      </c>
      <c r="X73">
        <v>51003075.780000001</v>
      </c>
      <c r="Y73">
        <v>3840049.84</v>
      </c>
      <c r="Z73">
        <v>3350922.76</v>
      </c>
      <c r="AA73">
        <v>389715907.23000002</v>
      </c>
      <c r="AB73">
        <v>0</v>
      </c>
      <c r="AC73">
        <v>389715907.23000002</v>
      </c>
    </row>
    <row r="74" spans="1:29" x14ac:dyDescent="0.3">
      <c r="A74" s="2">
        <v>45658</v>
      </c>
      <c r="B74">
        <v>22</v>
      </c>
      <c r="C74">
        <v>6888168</v>
      </c>
      <c r="D74">
        <v>11573328.59</v>
      </c>
      <c r="E74">
        <v>11621396.300000001</v>
      </c>
      <c r="F74" s="6">
        <f t="shared" si="1"/>
        <v>30082892.890000001</v>
      </c>
      <c r="G74">
        <v>49365</v>
      </c>
      <c r="H74">
        <v>67631</v>
      </c>
      <c r="I74">
        <v>48848</v>
      </c>
      <c r="J74" s="3">
        <v>539</v>
      </c>
      <c r="K74" s="3">
        <v>5487</v>
      </c>
      <c r="L74" s="3">
        <v>114</v>
      </c>
      <c r="M74" s="3">
        <v>7365</v>
      </c>
      <c r="N74">
        <v>4.5000000000000014E-3</v>
      </c>
      <c r="O74">
        <v>4.4000000000000003E-3</v>
      </c>
      <c r="P74">
        <v>8.199999999999999E-3</v>
      </c>
      <c r="Q74">
        <v>0.105</v>
      </c>
      <c r="R74">
        <v>7.0000000000000007E-2</v>
      </c>
      <c r="S74">
        <v>154.66</v>
      </c>
      <c r="T74" s="5">
        <v>64.3</v>
      </c>
      <c r="U74">
        <v>1317.25</v>
      </c>
      <c r="V74">
        <v>1493729</v>
      </c>
      <c r="W74">
        <v>29830672011.330002</v>
      </c>
      <c r="X74">
        <v>47302327.619999997</v>
      </c>
      <c r="Y74">
        <v>3763676.93</v>
      </c>
      <c r="Z74">
        <v>3482625.43</v>
      </c>
      <c r="AA74">
        <v>414038692.79000002</v>
      </c>
      <c r="AB74">
        <v>0</v>
      </c>
      <c r="AC74">
        <v>414038692.79000002</v>
      </c>
    </row>
    <row r="75" spans="1:29" x14ac:dyDescent="0.3">
      <c r="A75" s="2">
        <v>45689</v>
      </c>
      <c r="B75">
        <v>20</v>
      </c>
      <c r="C75">
        <v>7064162</v>
      </c>
      <c r="D75">
        <v>14826733.02</v>
      </c>
      <c r="E75">
        <v>12888157.92</v>
      </c>
      <c r="F75" s="6">
        <f t="shared" si="1"/>
        <v>34779052.939999998</v>
      </c>
      <c r="G75">
        <v>81630</v>
      </c>
      <c r="H75">
        <v>79535</v>
      </c>
      <c r="I75">
        <v>66612</v>
      </c>
      <c r="J75" s="3">
        <v>539</v>
      </c>
      <c r="K75" s="3">
        <v>5487</v>
      </c>
      <c r="L75" s="3">
        <v>114</v>
      </c>
      <c r="M75" s="3">
        <v>7398</v>
      </c>
      <c r="N75">
        <v>8.1000000000000013E-3</v>
      </c>
      <c r="O75">
        <v>9.1999999999999998E-3</v>
      </c>
      <c r="P75">
        <v>1E-3</v>
      </c>
      <c r="Q75">
        <v>0.10440000000000001</v>
      </c>
      <c r="R75">
        <v>7.0000000000000007E-2</v>
      </c>
      <c r="S75">
        <v>154.93</v>
      </c>
      <c r="T75" s="5">
        <v>64.3</v>
      </c>
      <c r="U75">
        <v>1317.25</v>
      </c>
      <c r="V75">
        <v>1396545</v>
      </c>
      <c r="W75">
        <v>34229755886.549999</v>
      </c>
      <c r="X75">
        <v>46280967.68</v>
      </c>
      <c r="Y75">
        <v>3592052.93</v>
      </c>
      <c r="Z75">
        <v>3290730.2</v>
      </c>
      <c r="AA75">
        <v>423247694.60000002</v>
      </c>
      <c r="AB75">
        <v>0</v>
      </c>
      <c r="AC75">
        <v>423247694.60000002</v>
      </c>
    </row>
    <row r="76" spans="1:29" x14ac:dyDescent="0.3">
      <c r="A76" s="2">
        <v>45717</v>
      </c>
      <c r="B76">
        <v>18</v>
      </c>
      <c r="C76">
        <v>6220612</v>
      </c>
      <c r="D76">
        <v>12393147.199999999</v>
      </c>
      <c r="E76">
        <v>12295652.550000001</v>
      </c>
      <c r="F76" s="6">
        <f t="shared" si="1"/>
        <v>30909411.75</v>
      </c>
      <c r="G76">
        <v>74122</v>
      </c>
      <c r="H76">
        <v>68847</v>
      </c>
      <c r="I76">
        <v>55742</v>
      </c>
      <c r="J76" s="3">
        <v>539</v>
      </c>
      <c r="K76" s="3">
        <v>5494</v>
      </c>
      <c r="L76" s="3">
        <v>114</v>
      </c>
      <c r="M76" s="3">
        <v>7435</v>
      </c>
      <c r="N76">
        <v>-3.0000000000000001E-3</v>
      </c>
      <c r="O76">
        <v>-3.3999999999999998E-3</v>
      </c>
      <c r="P76">
        <v>4.3E-3</v>
      </c>
      <c r="Q76">
        <v>0.1038</v>
      </c>
      <c r="R76">
        <v>7.0000000000000007E-2</v>
      </c>
      <c r="S76">
        <v>154.44999999999999</v>
      </c>
      <c r="T76" s="5">
        <v>64.3</v>
      </c>
      <c r="U76">
        <v>1317.25</v>
      </c>
      <c r="V76">
        <v>1234752</v>
      </c>
      <c r="W76">
        <v>198338549315.32999</v>
      </c>
      <c r="X76">
        <v>40017863.32</v>
      </c>
      <c r="Y76">
        <v>3122995.16</v>
      </c>
      <c r="Z76">
        <v>2971978.43</v>
      </c>
      <c r="AA76">
        <v>431576948.37</v>
      </c>
      <c r="AB76">
        <v>0</v>
      </c>
      <c r="AC76">
        <v>431576948.37</v>
      </c>
    </row>
    <row r="77" spans="1:29" x14ac:dyDescent="0.3">
      <c r="A77" s="2">
        <v>45748</v>
      </c>
      <c r="B77">
        <v>20</v>
      </c>
      <c r="C77">
        <v>7502594.5800000001</v>
      </c>
      <c r="D77">
        <v>14357653.74</v>
      </c>
      <c r="E77">
        <v>12805388.560000001</v>
      </c>
      <c r="F77" s="6">
        <f t="shared" si="1"/>
        <v>34665636.880000003</v>
      </c>
      <c r="G77">
        <v>80096</v>
      </c>
      <c r="H77">
        <v>74601</v>
      </c>
      <c r="I77">
        <v>61376</v>
      </c>
      <c r="J77" s="3">
        <v>539</v>
      </c>
      <c r="K77" s="3">
        <v>5505</v>
      </c>
      <c r="L77" s="3">
        <v>114</v>
      </c>
      <c r="M77" s="3">
        <v>7475</v>
      </c>
      <c r="N77">
        <v>7.6E-3</v>
      </c>
      <c r="O77">
        <v>6.9999999999999993E-3</v>
      </c>
      <c r="P77">
        <v>2.0999999999999999E-3</v>
      </c>
      <c r="Q77">
        <v>0.1032</v>
      </c>
      <c r="R77">
        <v>6.9000000000000006E-2</v>
      </c>
      <c r="S77">
        <v>155.59</v>
      </c>
      <c r="T77" s="5">
        <v>65</v>
      </c>
      <c r="U77">
        <v>1317.25</v>
      </c>
      <c r="V77">
        <v>1465333</v>
      </c>
      <c r="W77">
        <v>37387150418.529999</v>
      </c>
      <c r="X77">
        <v>48639799.509999998</v>
      </c>
      <c r="Y77">
        <v>3786905.74</v>
      </c>
      <c r="Z77">
        <v>3412091.73</v>
      </c>
      <c r="AA77">
        <v>432008411.86000001</v>
      </c>
      <c r="AB77">
        <v>0</v>
      </c>
      <c r="AC77">
        <v>432008411.86000001</v>
      </c>
    </row>
    <row r="78" spans="1:29" x14ac:dyDescent="0.3">
      <c r="A78" s="2">
        <v>45778</v>
      </c>
      <c r="B78">
        <v>21</v>
      </c>
      <c r="C78">
        <v>7244129.8100000015</v>
      </c>
      <c r="D78">
        <v>15184795.67</v>
      </c>
      <c r="E78">
        <v>14343823.66</v>
      </c>
      <c r="F78" s="6">
        <f t="shared" si="1"/>
        <v>36772749.140000001</v>
      </c>
      <c r="G78">
        <v>88094</v>
      </c>
      <c r="H78">
        <v>79938</v>
      </c>
      <c r="I78">
        <v>63662</v>
      </c>
      <c r="J78" s="3">
        <v>540</v>
      </c>
      <c r="K78" s="3">
        <v>5506</v>
      </c>
      <c r="L78" s="3">
        <v>114</v>
      </c>
      <c r="M78" s="3">
        <v>7558</v>
      </c>
      <c r="N78">
        <v>5.8999999999999999E-3</v>
      </c>
      <c r="O78">
        <v>4.7999999999999996E-3</v>
      </c>
      <c r="P78">
        <v>1.2999999999999999E-3</v>
      </c>
      <c r="Q78">
        <v>0.1026</v>
      </c>
      <c r="R78">
        <v>6.9000000000000006E-2</v>
      </c>
      <c r="S78">
        <v>154.19</v>
      </c>
      <c r="T78" s="5">
        <v>65</v>
      </c>
      <c r="U78">
        <v>0</v>
      </c>
      <c r="V78">
        <v>3078234</v>
      </c>
      <c r="W78">
        <v>153899416378.35999</v>
      </c>
      <c r="X78">
        <v>101837438.12</v>
      </c>
      <c r="Y78">
        <v>7890612.4400000004</v>
      </c>
      <c r="Z78">
        <v>7287966.46</v>
      </c>
      <c r="AA78">
        <v>407852560.06</v>
      </c>
      <c r="AB78">
        <v>0</v>
      </c>
      <c r="AC78">
        <v>407852560.06</v>
      </c>
    </row>
    <row r="79" spans="1:29" x14ac:dyDescent="0.3">
      <c r="A79" s="2">
        <v>45809</v>
      </c>
      <c r="B79">
        <v>20</v>
      </c>
      <c r="C79">
        <v>7053556.5999999996</v>
      </c>
      <c r="D79">
        <v>13262432.68</v>
      </c>
      <c r="E79">
        <v>13864090.390000001</v>
      </c>
      <c r="F79" s="6">
        <f t="shared" si="1"/>
        <v>34180079.670000002</v>
      </c>
      <c r="G79">
        <v>83127</v>
      </c>
      <c r="H79">
        <v>75044</v>
      </c>
      <c r="I79">
        <v>68958</v>
      </c>
      <c r="J79" s="3">
        <v>540</v>
      </c>
      <c r="K79" s="3">
        <v>5529</v>
      </c>
      <c r="L79" s="3">
        <v>114</v>
      </c>
      <c r="M79" s="3">
        <v>7583</v>
      </c>
      <c r="N79">
        <v>4.6999999999999993E-3</v>
      </c>
      <c r="O79">
        <v>3.5999999999999999E-3</v>
      </c>
      <c r="P79">
        <v>1.2800000000000001E-2</v>
      </c>
      <c r="Q79">
        <v>0.1021</v>
      </c>
      <c r="R79">
        <v>6.9000000000000006E-2</v>
      </c>
      <c r="S79">
        <v>154.16999999999999</v>
      </c>
      <c r="T79" s="5">
        <v>65</v>
      </c>
      <c r="U79">
        <v>0</v>
      </c>
      <c r="V79">
        <v>2903402</v>
      </c>
      <c r="W79">
        <v>72087749435.180008</v>
      </c>
      <c r="X79">
        <v>95178650.540000007</v>
      </c>
      <c r="Y79">
        <v>7327201.9800000004</v>
      </c>
      <c r="Z79">
        <v>6648003.2800000003</v>
      </c>
      <c r="AA79">
        <v>412394431.13</v>
      </c>
      <c r="AB79">
        <v>0</v>
      </c>
      <c r="AC79">
        <v>412394431.13</v>
      </c>
    </row>
    <row r="80" spans="1:29" x14ac:dyDescent="0.3">
      <c r="A80" s="2">
        <v>45839</v>
      </c>
      <c r="B80">
        <v>23</v>
      </c>
      <c r="C80">
        <v>10335233.279999999</v>
      </c>
      <c r="D80">
        <v>16523958.93</v>
      </c>
      <c r="E80">
        <v>13696879.039999999</v>
      </c>
      <c r="F80" s="6">
        <f t="shared" si="1"/>
        <v>40556071.25</v>
      </c>
      <c r="G80">
        <v>90024</v>
      </c>
      <c r="H80">
        <v>83104</v>
      </c>
      <c r="I80">
        <v>64433</v>
      </c>
      <c r="J80" s="3">
        <v>541</v>
      </c>
      <c r="K80" s="3">
        <v>5531</v>
      </c>
      <c r="L80" s="3">
        <v>114</v>
      </c>
      <c r="M80" s="3">
        <v>8066</v>
      </c>
      <c r="N80">
        <v>3.3999999999999998E-3</v>
      </c>
      <c r="O80">
        <v>4.7999999999999996E-3</v>
      </c>
      <c r="P80">
        <v>8.8999999999999999E-3</v>
      </c>
      <c r="Q80">
        <v>0.10150000000000001</v>
      </c>
      <c r="R80">
        <v>6.8000000000000005E-2</v>
      </c>
      <c r="S80">
        <v>154.55000000000001</v>
      </c>
      <c r="T80" s="5">
        <v>66.5</v>
      </c>
      <c r="U80">
        <v>0</v>
      </c>
      <c r="V80">
        <v>3400670</v>
      </c>
      <c r="W80">
        <v>191342027909</v>
      </c>
      <c r="X80">
        <v>107959336.45999999</v>
      </c>
      <c r="Y80">
        <v>8313140.1600000001</v>
      </c>
      <c r="Z80">
        <v>7697144.7999999998</v>
      </c>
      <c r="AA80">
        <v>418484252.45999998</v>
      </c>
      <c r="AB80">
        <v>0</v>
      </c>
      <c r="AC80">
        <v>418484252.45999998</v>
      </c>
    </row>
    <row r="81" spans="1:29" x14ac:dyDescent="0.3">
      <c r="A81" s="2">
        <v>45870</v>
      </c>
      <c r="B81">
        <v>20</v>
      </c>
      <c r="C81">
        <v>9128231.1300000008</v>
      </c>
      <c r="D81">
        <v>14275962.189999999</v>
      </c>
      <c r="E81">
        <v>14155416.65</v>
      </c>
      <c r="F81" s="6">
        <f t="shared" si="1"/>
        <v>37559609.969999999</v>
      </c>
      <c r="G81">
        <v>76740</v>
      </c>
      <c r="H81">
        <v>78359</v>
      </c>
      <c r="I81">
        <v>64331</v>
      </c>
      <c r="J81" s="3">
        <v>540</v>
      </c>
      <c r="K81" s="3">
        <v>5530</v>
      </c>
      <c r="L81" s="3">
        <v>114</v>
      </c>
      <c r="M81" s="3">
        <v>7622</v>
      </c>
      <c r="N81">
        <v>-2.3999999999999998E-3</v>
      </c>
      <c r="O81">
        <v>-1.5E-3</v>
      </c>
      <c r="P81">
        <v>5.0000000000000001E-4</v>
      </c>
      <c r="Q81">
        <v>0.1009</v>
      </c>
      <c r="R81">
        <v>6.8000000000000005E-2</v>
      </c>
      <c r="S81">
        <v>155.53</v>
      </c>
      <c r="T81" s="5">
        <v>66.5</v>
      </c>
      <c r="U81">
        <v>0</v>
      </c>
      <c r="V81">
        <v>3150802</v>
      </c>
      <c r="W81">
        <v>88083003003.720001</v>
      </c>
      <c r="X81">
        <v>104714234.98</v>
      </c>
      <c r="Y81">
        <v>8163473.54</v>
      </c>
      <c r="Z81">
        <v>7396781.3600000003</v>
      </c>
      <c r="AA81">
        <v>422651803.17000002</v>
      </c>
      <c r="AB81">
        <v>0</v>
      </c>
      <c r="AC81">
        <v>422651803.17000002</v>
      </c>
    </row>
    <row r="82" spans="1:29" x14ac:dyDescent="0.3">
      <c r="A82" s="2">
        <v>45901</v>
      </c>
      <c r="B82">
        <v>22</v>
      </c>
      <c r="C82">
        <v>11374389.32</v>
      </c>
      <c r="D82">
        <v>15089306.85</v>
      </c>
      <c r="E82">
        <v>14976595.720000001</v>
      </c>
      <c r="F82" s="6">
        <f t="shared" si="1"/>
        <v>41440291.890000001</v>
      </c>
      <c r="G82">
        <v>82893</v>
      </c>
      <c r="H82">
        <v>81928</v>
      </c>
      <c r="I82">
        <v>67782</v>
      </c>
      <c r="J82" s="3">
        <v>541</v>
      </c>
      <c r="K82" s="3">
        <v>5531</v>
      </c>
      <c r="L82" s="3">
        <v>114</v>
      </c>
      <c r="M82" s="3">
        <v>7639</v>
      </c>
      <c r="N82">
        <v>4.3E-3</v>
      </c>
      <c r="O82">
        <v>3.8E-3</v>
      </c>
      <c r="P82">
        <v>1.32E-2</v>
      </c>
      <c r="Q82">
        <v>0.1003</v>
      </c>
      <c r="R82">
        <v>6.8000000000000005E-2</v>
      </c>
      <c r="S82">
        <v>156.79</v>
      </c>
      <c r="T82" s="5">
        <v>66.5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2">
        <v>45931</v>
      </c>
      <c r="B83">
        <v>23</v>
      </c>
      <c r="C83">
        <v>10800327.26</v>
      </c>
      <c r="D83">
        <v>15443731</v>
      </c>
      <c r="E83">
        <v>15098274.6</v>
      </c>
      <c r="F83" s="6">
        <f t="shared" si="1"/>
        <v>41342332.859999999</v>
      </c>
      <c r="G83">
        <v>85259</v>
      </c>
      <c r="H83">
        <v>81844</v>
      </c>
      <c r="I83">
        <v>67894</v>
      </c>
      <c r="J83" s="3">
        <v>541</v>
      </c>
      <c r="K83" s="3">
        <v>5532</v>
      </c>
      <c r="L83" s="3">
        <v>114</v>
      </c>
      <c r="M83" s="3">
        <v>8238</v>
      </c>
      <c r="N83">
        <v>6.1000000000000004E-3</v>
      </c>
      <c r="O83">
        <v>5.6000000000000008E-3</v>
      </c>
      <c r="P83">
        <v>8.5000000000000006E-3</v>
      </c>
      <c r="Q83">
        <v>9.9700000000000011E-2</v>
      </c>
      <c r="R83">
        <v>6.7000000000000004E-2</v>
      </c>
      <c r="S83">
        <v>155.31</v>
      </c>
      <c r="T83" s="5">
        <v>69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2">
        <v>45962</v>
      </c>
      <c r="B84">
        <v>19</v>
      </c>
      <c r="C84">
        <v>12518048.98</v>
      </c>
      <c r="D84">
        <v>12934695.82</v>
      </c>
      <c r="E84">
        <v>14040048.460000001</v>
      </c>
      <c r="F84" s="6">
        <f t="shared" si="1"/>
        <v>39492793.260000005</v>
      </c>
      <c r="G84">
        <v>79807</v>
      </c>
      <c r="H84">
        <v>73586</v>
      </c>
      <c r="I84">
        <v>65909</v>
      </c>
      <c r="J84" s="3">
        <v>546</v>
      </c>
      <c r="K84" s="3">
        <v>5534</v>
      </c>
      <c r="L84" s="3">
        <v>114</v>
      </c>
      <c r="M84" s="3">
        <v>8254</v>
      </c>
      <c r="N84">
        <v>9.3999999999999986E-3</v>
      </c>
      <c r="O84">
        <v>8.8999999999999999E-3</v>
      </c>
      <c r="P84">
        <v>1.2500000000000001E-2</v>
      </c>
      <c r="Q84">
        <v>9.9100000000000008E-2</v>
      </c>
      <c r="R84">
        <v>6.7000000000000004E-2</v>
      </c>
      <c r="S84">
        <v>153.19999999999999</v>
      </c>
      <c r="T84" s="5">
        <v>69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2">
        <v>45992</v>
      </c>
      <c r="B85">
        <v>22</v>
      </c>
      <c r="C85">
        <v>12366143.050000001</v>
      </c>
      <c r="D85">
        <v>12796833.539999999</v>
      </c>
      <c r="E85">
        <v>18265347.370000001</v>
      </c>
      <c r="F85" s="6">
        <f t="shared" si="1"/>
        <v>43428323.960000001</v>
      </c>
      <c r="G85">
        <v>62585</v>
      </c>
      <c r="H85">
        <v>57696</v>
      </c>
      <c r="I85">
        <v>55399</v>
      </c>
      <c r="J85" s="3">
        <v>541</v>
      </c>
      <c r="K85" s="3">
        <v>5532</v>
      </c>
      <c r="L85" s="3">
        <v>114</v>
      </c>
      <c r="M85" s="3">
        <v>8196</v>
      </c>
      <c r="N85">
        <v>6.7999999999999996E-3</v>
      </c>
      <c r="O85">
        <v>2.8999999999999998E-3</v>
      </c>
      <c r="P85">
        <v>1.0999999999999999E-2</v>
      </c>
      <c r="Q85">
        <v>9.849999999999999E-2</v>
      </c>
      <c r="R85">
        <v>6.7000000000000004E-2</v>
      </c>
      <c r="S85">
        <v>155.32</v>
      </c>
      <c r="T85" s="5">
        <v>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2">
        <v>46023</v>
      </c>
      <c r="B86">
        <v>26</v>
      </c>
      <c r="C86">
        <v>7166784.7199999997</v>
      </c>
      <c r="D86">
        <v>12967188.399999999</v>
      </c>
      <c r="E86">
        <v>15846896.069999998</v>
      </c>
      <c r="F86" s="6">
        <f t="shared" si="1"/>
        <v>35980869.189999998</v>
      </c>
      <c r="G86">
        <v>46113</v>
      </c>
      <c r="H86">
        <v>59916</v>
      </c>
      <c r="I86">
        <v>45198</v>
      </c>
      <c r="J86" s="3">
        <v>548</v>
      </c>
      <c r="K86" s="3">
        <v>5536</v>
      </c>
      <c r="L86" s="3">
        <v>114</v>
      </c>
      <c r="M86" s="3">
        <v>8268</v>
      </c>
      <c r="N86">
        <v>2.7000000000000001E-3</v>
      </c>
      <c r="O86">
        <v>2.0999999999999999E-3</v>
      </c>
      <c r="P86">
        <v>-5.9999999999999995E-4</v>
      </c>
      <c r="Q86">
        <v>9.7899999999999987E-2</v>
      </c>
      <c r="R86">
        <v>6.7000000000000004E-2</v>
      </c>
      <c r="S86">
        <v>156.02000000000001</v>
      </c>
    </row>
    <row r="87" spans="1:29" x14ac:dyDescent="0.3">
      <c r="A87" s="2">
        <v>46054</v>
      </c>
      <c r="B87">
        <v>24</v>
      </c>
      <c r="C87">
        <v>14986543.51</v>
      </c>
      <c r="D87">
        <v>14986543.51</v>
      </c>
      <c r="E87">
        <v>14986543.51</v>
      </c>
      <c r="F87" s="6">
        <f t="shared" si="1"/>
        <v>44959630.530000001</v>
      </c>
      <c r="G87">
        <v>73560</v>
      </c>
      <c r="H87">
        <v>70289</v>
      </c>
      <c r="I87">
        <v>57966</v>
      </c>
      <c r="J87" s="3">
        <v>549</v>
      </c>
      <c r="K87" s="3">
        <v>5536</v>
      </c>
      <c r="L87" s="3">
        <v>114</v>
      </c>
      <c r="M87" s="3">
        <v>8290</v>
      </c>
      <c r="N87">
        <v>4.0999999999999986E-3</v>
      </c>
      <c r="O87">
        <v>3.0000000000000001E-3</v>
      </c>
      <c r="P87">
        <v>1.5E-3</v>
      </c>
      <c r="Q87">
        <v>9.74E-2</v>
      </c>
      <c r="R87">
        <v>6.6000000000000003E-2</v>
      </c>
      <c r="S87">
        <v>155.1</v>
      </c>
    </row>
    <row r="88" spans="1:29" x14ac:dyDescent="0.3">
      <c r="A88" s="2">
        <v>46082</v>
      </c>
      <c r="B88">
        <v>24</v>
      </c>
      <c r="C88">
        <v>8946471.0899999999</v>
      </c>
      <c r="D88">
        <v>18664722.079999998</v>
      </c>
      <c r="E88">
        <v>16462280.76</v>
      </c>
      <c r="F88" s="6">
        <f t="shared" si="1"/>
        <v>44073473.93</v>
      </c>
      <c r="G88">
        <v>88147</v>
      </c>
      <c r="H88">
        <v>83003</v>
      </c>
      <c r="I88">
        <v>68195</v>
      </c>
      <c r="J88" s="3">
        <v>550</v>
      </c>
      <c r="K88" s="3">
        <v>5538</v>
      </c>
      <c r="L88" s="3">
        <v>114</v>
      </c>
      <c r="M88" s="3">
        <v>8317</v>
      </c>
      <c r="N88">
        <v>8.199999999999999E-3</v>
      </c>
      <c r="O88">
        <v>7.1999999999999998E-3</v>
      </c>
      <c r="P88">
        <v>1.2E-2</v>
      </c>
      <c r="Q88">
        <v>9.6799999999999997E-2</v>
      </c>
      <c r="R88">
        <v>6.6000000000000003E-2</v>
      </c>
      <c r="S88">
        <v>157.62</v>
      </c>
    </row>
    <row r="89" spans="1:29" x14ac:dyDescent="0.3">
      <c r="A89" s="2">
        <v>46113</v>
      </c>
      <c r="B89">
        <v>24</v>
      </c>
      <c r="C89">
        <v>6976682.2699999996</v>
      </c>
      <c r="D89">
        <v>18301236.849999998</v>
      </c>
      <c r="E89">
        <v>15995175.84</v>
      </c>
      <c r="F89" s="6">
        <f t="shared" si="1"/>
        <v>41273094.959999993</v>
      </c>
      <c r="G89">
        <v>79876</v>
      </c>
      <c r="H89">
        <v>78917</v>
      </c>
      <c r="I89">
        <v>64460</v>
      </c>
      <c r="J89" s="3">
        <v>551</v>
      </c>
      <c r="K89" s="3">
        <v>5539</v>
      </c>
      <c r="L89" s="3">
        <v>114</v>
      </c>
      <c r="M89" s="3">
        <v>8344</v>
      </c>
      <c r="N89">
        <v>6.1999999999999998E-3</v>
      </c>
      <c r="O89">
        <v>5.5000000000000014E-3</v>
      </c>
      <c r="P89">
        <v>1.09E-2</v>
      </c>
      <c r="Q89">
        <v>9.6199999999999994E-2</v>
      </c>
      <c r="R89">
        <v>6.6000000000000003E-2</v>
      </c>
      <c r="S89">
        <v>158</v>
      </c>
    </row>
    <row r="90" spans="1:29" x14ac:dyDescent="0.3">
      <c r="A90" s="2">
        <v>46143</v>
      </c>
      <c r="B90">
        <v>25</v>
      </c>
      <c r="C90">
        <v>8339550.6799999997</v>
      </c>
      <c r="D90">
        <v>18896036.48</v>
      </c>
      <c r="E90">
        <v>18671208.68</v>
      </c>
      <c r="F90" s="6">
        <f t="shared" si="1"/>
        <v>45906795.840000004</v>
      </c>
      <c r="G90">
        <v>82506</v>
      </c>
      <c r="H90">
        <v>82557</v>
      </c>
      <c r="I90">
        <v>65525</v>
      </c>
      <c r="J90" s="3">
        <v>554</v>
      </c>
      <c r="K90" s="3">
        <v>5539</v>
      </c>
      <c r="L90" s="3">
        <v>114</v>
      </c>
      <c r="M90" s="3">
        <v>8370</v>
      </c>
      <c r="N90">
        <v>2.5999999999999999E-3</v>
      </c>
      <c r="O90">
        <v>2.8999999999999998E-3</v>
      </c>
      <c r="P90">
        <v>5.7999999999999996E-3</v>
      </c>
      <c r="Q90">
        <v>9.5600000000000004E-2</v>
      </c>
      <c r="R90">
        <v>6.5000000000000002E-2</v>
      </c>
      <c r="S90">
        <v>159.97</v>
      </c>
    </row>
    <row r="91" spans="1:29" x14ac:dyDescent="0.3">
      <c r="A91" s="2">
        <v>46174</v>
      </c>
      <c r="B91">
        <v>26</v>
      </c>
      <c r="C91">
        <v>9311946.0300000012</v>
      </c>
      <c r="D91">
        <v>20597140.41</v>
      </c>
      <c r="E91">
        <v>17582449.800000001</v>
      </c>
      <c r="F91" s="6">
        <f t="shared" si="1"/>
        <v>47491536.240000002</v>
      </c>
      <c r="G91">
        <v>86786</v>
      </c>
      <c r="H91">
        <v>79465</v>
      </c>
      <c r="I91">
        <v>69709</v>
      </c>
      <c r="J91" s="3">
        <v>554</v>
      </c>
      <c r="K91" s="3">
        <v>5539</v>
      </c>
      <c r="L91" s="3">
        <v>114</v>
      </c>
      <c r="M91" s="3">
        <v>8396</v>
      </c>
      <c r="N91">
        <v>6.7999999999999996E-3</v>
      </c>
      <c r="O91">
        <v>6.0000000000000001E-3</v>
      </c>
      <c r="P91">
        <v>6.8999999999999999E-3</v>
      </c>
      <c r="Q91">
        <v>9.5000000000000001E-2</v>
      </c>
      <c r="R91">
        <v>6.5000000000000002E-2</v>
      </c>
      <c r="S91">
        <v>160.27000000000001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Eduarda</cp:lastModifiedBy>
  <dcterms:created xsi:type="dcterms:W3CDTF">2026-04-20T12:37:03Z</dcterms:created>
  <dcterms:modified xsi:type="dcterms:W3CDTF">2026-09-03T17:29:55Z</dcterms:modified>
</cp:coreProperties>
</file>